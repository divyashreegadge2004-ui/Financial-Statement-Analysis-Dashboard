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ELL\Desktop\EXCEL\"/>
    </mc:Choice>
  </mc:AlternateContent>
  <xr:revisionPtr revIDLastSave="0" documentId="13_ncr:1_{EED6ED49-0906-4545-AD0D-AE31C61266F7}" xr6:coauthVersionLast="47" xr6:coauthVersionMax="47" xr10:uidLastSave="{00000000-0000-0000-0000-000000000000}"/>
  <bookViews>
    <workbookView xWindow="-120" yWindow="-120" windowWidth="20730" windowHeight="11040" activeTab="3" xr2:uid="{E649E9AA-4971-4D98-B1BF-9EF882E822BA}"/>
  </bookViews>
  <sheets>
    <sheet name="Worked Sheet" sheetId="1" r:id="rId1"/>
    <sheet name="KPI " sheetId="2" r:id="rId2"/>
    <sheet name="Pivot Table" sheetId="4" r:id="rId3"/>
    <sheet name="Dashboard" sheetId="3" r:id="rId4"/>
  </sheets>
  <externalReferences>
    <externalReference r:id="rId5"/>
  </externalReferences>
  <definedNames>
    <definedName name="Slicer_Business_Unit">#N/A</definedName>
    <definedName name="Slicer_Customer_Segment">#N/A</definedName>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L2" i="1"/>
  <c r="K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B4" i="2"/>
  <c r="B3" i="2"/>
  <c r="B6" i="2" s="1"/>
  <c r="B2" i="2"/>
  <c r="B5" i="2" s="1"/>
</calcChain>
</file>

<file path=xl/sharedStrings.xml><?xml version="1.0" encoding="utf-8"?>
<sst xmlns="http://schemas.openxmlformats.org/spreadsheetml/2006/main" count="2566" uniqueCount="311">
  <si>
    <t>Date</t>
  </si>
  <si>
    <t>Region</t>
  </si>
  <si>
    <t>Business Unit</t>
  </si>
  <si>
    <t>Product</t>
  </si>
  <si>
    <t>Customer Segment</t>
  </si>
  <si>
    <t>Revenue</t>
  </si>
  <si>
    <t>COGS</t>
  </si>
  <si>
    <t>Operating Expense</t>
  </si>
  <si>
    <t>Units Sold</t>
  </si>
  <si>
    <t>Discount %</t>
  </si>
  <si>
    <t>2025-11-24</t>
  </si>
  <si>
    <t>North</t>
  </si>
  <si>
    <t>Retail</t>
  </si>
  <si>
    <t>Delta</t>
  </si>
  <si>
    <t>SMB</t>
  </si>
  <si>
    <t>2025-01-16</t>
  </si>
  <si>
    <t>South</t>
  </si>
  <si>
    <t>Enterprise</t>
  </si>
  <si>
    <t>Beta</t>
  </si>
  <si>
    <t>Corporate</t>
  </si>
  <si>
    <t>2025-10-29</t>
  </si>
  <si>
    <t>West</t>
  </si>
  <si>
    <t>Gamma</t>
  </si>
  <si>
    <t>2025-04-21</t>
  </si>
  <si>
    <t>East</t>
  </si>
  <si>
    <t>Consumer</t>
  </si>
  <si>
    <t>2025-03-05</t>
  </si>
  <si>
    <t>Alpha</t>
  </si>
  <si>
    <t>2025-12-05</t>
  </si>
  <si>
    <t>2025-11-22</t>
  </si>
  <si>
    <t>2025-08-25</t>
  </si>
  <si>
    <t>2025-01-17</t>
  </si>
  <si>
    <t>2025-11-26</t>
  </si>
  <si>
    <t>2025-04-23</t>
  </si>
  <si>
    <t>2025-02-02</t>
  </si>
  <si>
    <t>2025-06-24</t>
  </si>
  <si>
    <t>2025-09-17</t>
  </si>
  <si>
    <t>2025-02-27</t>
  </si>
  <si>
    <t>2025-09-06</t>
  </si>
  <si>
    <t>2025-11-07</t>
  </si>
  <si>
    <t>2025-09-22</t>
  </si>
  <si>
    <t>2025-12-29</t>
  </si>
  <si>
    <t>2025-04-08</t>
  </si>
  <si>
    <t>2025-07-26</t>
  </si>
  <si>
    <t>2025-05-23</t>
  </si>
  <si>
    <t>2025-05-02</t>
  </si>
  <si>
    <t>2025-07-19</t>
  </si>
  <si>
    <t>2025-04-22</t>
  </si>
  <si>
    <t>2025-09-29</t>
  </si>
  <si>
    <t>2025-03-03</t>
  </si>
  <si>
    <t>2025-12-09</t>
  </si>
  <si>
    <t>2025-08-23</t>
  </si>
  <si>
    <t>2025-02-05</t>
  </si>
  <si>
    <t>2025-02-23</t>
  </si>
  <si>
    <t>2025-04-18</t>
  </si>
  <si>
    <t>2025-11-21</t>
  </si>
  <si>
    <t>2025-12-28</t>
  </si>
  <si>
    <t>2025-03-07</t>
  </si>
  <si>
    <t>2025-02-22</t>
  </si>
  <si>
    <t>2025-07-31</t>
  </si>
  <si>
    <t>2025-02-25</t>
  </si>
  <si>
    <t>2025-04-25</t>
  </si>
  <si>
    <t>2025-10-02</t>
  </si>
  <si>
    <t>2025-08-11</t>
  </si>
  <si>
    <t>2025-01-23</t>
  </si>
  <si>
    <t>2025-06-19</t>
  </si>
  <si>
    <t>2025-12-23</t>
  </si>
  <si>
    <t>2025-01-01</t>
  </si>
  <si>
    <t>2025-12-12</t>
  </si>
  <si>
    <t>2025-05-01</t>
  </si>
  <si>
    <t>2025-02-07</t>
  </si>
  <si>
    <t>2025-12-02</t>
  </si>
  <si>
    <t>2025-09-23</t>
  </si>
  <si>
    <t>2025-09-01</t>
  </si>
  <si>
    <t>2025-02-09</t>
  </si>
  <si>
    <t>2025-07-16</t>
  </si>
  <si>
    <t>2025-08-04</t>
  </si>
  <si>
    <t>2025-06-02</t>
  </si>
  <si>
    <t>2025-08-12</t>
  </si>
  <si>
    <t>2025-10-01</t>
  </si>
  <si>
    <t>2025-04-04</t>
  </si>
  <si>
    <t>2025-05-10</t>
  </si>
  <si>
    <t>2025-05-07</t>
  </si>
  <si>
    <t>2025-12-25</t>
  </si>
  <si>
    <t>2025-01-14</t>
  </si>
  <si>
    <t>2025-07-09</t>
  </si>
  <si>
    <t>2025-10-31</t>
  </si>
  <si>
    <t>2025-10-19</t>
  </si>
  <si>
    <t>2025-05-13</t>
  </si>
  <si>
    <t>2025-07-28</t>
  </si>
  <si>
    <t>2025-04-24</t>
  </si>
  <si>
    <t>2025-10-09</t>
  </si>
  <si>
    <t>2025-04-10</t>
  </si>
  <si>
    <t>2025-10-11</t>
  </si>
  <si>
    <t>2025-09-03</t>
  </si>
  <si>
    <t>2025-10-13</t>
  </si>
  <si>
    <t>2025-02-11</t>
  </si>
  <si>
    <t>2025-02-06</t>
  </si>
  <si>
    <t>2025-12-19</t>
  </si>
  <si>
    <t>2025-01-21</t>
  </si>
  <si>
    <t>2025-08-29</t>
  </si>
  <si>
    <t>2025-12-06</t>
  </si>
  <si>
    <t>2025-08-13</t>
  </si>
  <si>
    <t>2025-05-30</t>
  </si>
  <si>
    <t>2025-05-17</t>
  </si>
  <si>
    <t>2025-09-05</t>
  </si>
  <si>
    <t>2025-01-19</t>
  </si>
  <si>
    <t>2025-03-15</t>
  </si>
  <si>
    <t>2025-11-20</t>
  </si>
  <si>
    <t>2025-03-27</t>
  </si>
  <si>
    <t>2025-03-16</t>
  </si>
  <si>
    <t>2025-07-15</t>
  </si>
  <si>
    <t>2025-05-11</t>
  </si>
  <si>
    <t>2025-10-28</t>
  </si>
  <si>
    <t>2025-02-24</t>
  </si>
  <si>
    <t>2025-10-17</t>
  </si>
  <si>
    <t>2025-06-30</t>
  </si>
  <si>
    <t>2025-01-18</t>
  </si>
  <si>
    <t>2025-03-09</t>
  </si>
  <si>
    <t>2025-06-23</t>
  </si>
  <si>
    <t>2025-01-08</t>
  </si>
  <si>
    <t>2025-04-30</t>
  </si>
  <si>
    <t>2025-06-04</t>
  </si>
  <si>
    <t>2025-02-20</t>
  </si>
  <si>
    <t>2025-03-04</t>
  </si>
  <si>
    <t>2025-03-06</t>
  </si>
  <si>
    <t>2025-11-02</t>
  </si>
  <si>
    <t>2025-01-27</t>
  </si>
  <si>
    <t>2025-03-17</t>
  </si>
  <si>
    <t>2025-09-16</t>
  </si>
  <si>
    <t>2025-02-19</t>
  </si>
  <si>
    <t>2025-12-07</t>
  </si>
  <si>
    <t>2025-10-21</t>
  </si>
  <si>
    <t>2025-05-20</t>
  </si>
  <si>
    <t>2025-06-09</t>
  </si>
  <si>
    <t>2025-02-28</t>
  </si>
  <si>
    <t>2025-07-22</t>
  </si>
  <si>
    <t>2025-01-22</t>
  </si>
  <si>
    <t>2025-03-28</t>
  </si>
  <si>
    <t>2025-10-24</t>
  </si>
  <si>
    <t>2025-02-04</t>
  </si>
  <si>
    <t>2025-08-19</t>
  </si>
  <si>
    <t>2025-12-14</t>
  </si>
  <si>
    <t>2025-12-10</t>
  </si>
  <si>
    <t>2025-04-03</t>
  </si>
  <si>
    <t>2025-02-21</t>
  </si>
  <si>
    <t>2025-07-12</t>
  </si>
  <si>
    <t>2025-07-06</t>
  </si>
  <si>
    <t>2025-04-13</t>
  </si>
  <si>
    <t>2025-02-12</t>
  </si>
  <si>
    <t>2025-06-13</t>
  </si>
  <si>
    <t>2025-03-18</t>
  </si>
  <si>
    <t>2025-01-25</t>
  </si>
  <si>
    <t>2025-09-21</t>
  </si>
  <si>
    <t>2025-12-03</t>
  </si>
  <si>
    <t>2025-08-31</t>
  </si>
  <si>
    <t>2025-07-08</t>
  </si>
  <si>
    <t>2025-09-12</t>
  </si>
  <si>
    <t>2025-12-20</t>
  </si>
  <si>
    <t>2025-07-10</t>
  </si>
  <si>
    <t>2025-08-17</t>
  </si>
  <si>
    <t>2025-08-20</t>
  </si>
  <si>
    <t>2025-03-22</t>
  </si>
  <si>
    <t>2025-07-23</t>
  </si>
  <si>
    <t>2025-01-29</t>
  </si>
  <si>
    <t>2025-05-09</t>
  </si>
  <si>
    <t>2025-12-04</t>
  </si>
  <si>
    <t>2025-11-25</t>
  </si>
  <si>
    <t>2025-08-14</t>
  </si>
  <si>
    <t>2025-03-08</t>
  </si>
  <si>
    <t>2025-03-14</t>
  </si>
  <si>
    <t>2025-10-23</t>
  </si>
  <si>
    <t>2025-02-16</t>
  </si>
  <si>
    <t>2025-09-11</t>
  </si>
  <si>
    <t>2025-05-16</t>
  </si>
  <si>
    <t>2025-07-17</t>
  </si>
  <si>
    <t>2025-07-11</t>
  </si>
  <si>
    <t>2025-03-12</t>
  </si>
  <si>
    <t>2025-07-21</t>
  </si>
  <si>
    <t>2025-11-10</t>
  </si>
  <si>
    <t>2025-06-28</t>
  </si>
  <si>
    <t>2025-04-14</t>
  </si>
  <si>
    <t>2025-06-14</t>
  </si>
  <si>
    <t>2025-04-01</t>
  </si>
  <si>
    <t>2025-10-18</t>
  </si>
  <si>
    <t>2025-04-09</t>
  </si>
  <si>
    <t>2025-11-11</t>
  </si>
  <si>
    <t>2025-08-15</t>
  </si>
  <si>
    <t>2025-09-20</t>
  </si>
  <si>
    <t>2025-05-27</t>
  </si>
  <si>
    <t>2025-10-06</t>
  </si>
  <si>
    <t>2025-11-01</t>
  </si>
  <si>
    <t>2025-11-03</t>
  </si>
  <si>
    <t>2025-02-01</t>
  </si>
  <si>
    <t>2025-04-05</t>
  </si>
  <si>
    <t>2025-03-02</t>
  </si>
  <si>
    <t>2025-07-14</t>
  </si>
  <si>
    <t>2025-05-06</t>
  </si>
  <si>
    <t>2025-08-22</t>
  </si>
  <si>
    <t>2025-09-30</t>
  </si>
  <si>
    <t>2025-02-10</t>
  </si>
  <si>
    <t>2025-07-27</t>
  </si>
  <si>
    <t>2025-11-27</t>
  </si>
  <si>
    <t>2025-04-17</t>
  </si>
  <si>
    <t>2025-05-04</t>
  </si>
  <si>
    <t>2025-08-09</t>
  </si>
  <si>
    <t>2025-03-11</t>
  </si>
  <si>
    <t>2025-08-26</t>
  </si>
  <si>
    <t>2025-02-13</t>
  </si>
  <si>
    <t>2025-12-30</t>
  </si>
  <si>
    <t>2025-10-14</t>
  </si>
  <si>
    <t>2025-07-18</t>
  </si>
  <si>
    <t>2025-03-10</t>
  </si>
  <si>
    <t>2025-03-13</t>
  </si>
  <si>
    <t>2025-07-07</t>
  </si>
  <si>
    <t>2025-12-01</t>
  </si>
  <si>
    <t>2025-04-16</t>
  </si>
  <si>
    <t>2025-05-21</t>
  </si>
  <si>
    <t>2025-04-20</t>
  </si>
  <si>
    <t>2025-05-15</t>
  </si>
  <si>
    <t>2025-07-25</t>
  </si>
  <si>
    <t>2025-04-15</t>
  </si>
  <si>
    <t>2025-01-07</t>
  </si>
  <si>
    <t>2025-05-18</t>
  </si>
  <si>
    <t>2025-01-24</t>
  </si>
  <si>
    <t>2025-08-02</t>
  </si>
  <si>
    <t>2025-09-10</t>
  </si>
  <si>
    <t>2025-06-07</t>
  </si>
  <si>
    <t>2025-05-14</t>
  </si>
  <si>
    <t>2025-02-08</t>
  </si>
  <si>
    <t>2025-06-10</t>
  </si>
  <si>
    <t>2025-04-12</t>
  </si>
  <si>
    <t>2025-07-03</t>
  </si>
  <si>
    <t>2025-03-30</t>
  </si>
  <si>
    <t>2025-04-07</t>
  </si>
  <si>
    <t>2025-09-27</t>
  </si>
  <si>
    <t>2025-01-12</t>
  </si>
  <si>
    <t>2025-06-12</t>
  </si>
  <si>
    <t>2025-06-27</t>
  </si>
  <si>
    <t>2025-05-08</t>
  </si>
  <si>
    <t>2025-08-03</t>
  </si>
  <si>
    <t>2025-11-30</t>
  </si>
  <si>
    <t>2025-02-14</t>
  </si>
  <si>
    <t>2025-11-23</t>
  </si>
  <si>
    <t>2025-09-24</t>
  </si>
  <si>
    <t>2025-06-26</t>
  </si>
  <si>
    <t>2025-12-17</t>
  </si>
  <si>
    <t>2025-03-23</t>
  </si>
  <si>
    <t>2025-01-30</t>
  </si>
  <si>
    <t>2025-01-26</t>
  </si>
  <si>
    <t>2025-07-29</t>
  </si>
  <si>
    <t>2025-01-05</t>
  </si>
  <si>
    <t>2025-05-22</t>
  </si>
  <si>
    <t>2025-11-04</t>
  </si>
  <si>
    <t>2025-01-28</t>
  </si>
  <si>
    <t>2025-06-11</t>
  </si>
  <si>
    <t>2025-12-22</t>
  </si>
  <si>
    <t>2025-08-16</t>
  </si>
  <si>
    <t>2025-03-24</t>
  </si>
  <si>
    <t>2025-12-11</t>
  </si>
  <si>
    <t>2025-06-25</t>
  </si>
  <si>
    <t>2025-10-15</t>
  </si>
  <si>
    <t>2025-11-12</t>
  </si>
  <si>
    <t>2025-11-14</t>
  </si>
  <si>
    <t>2025-03-21</t>
  </si>
  <si>
    <t>2025-11-29</t>
  </si>
  <si>
    <t>2025-06-01</t>
  </si>
  <si>
    <t>2025-12-18</t>
  </si>
  <si>
    <t>2025-09-15</t>
  </si>
  <si>
    <t>2025-11-28</t>
  </si>
  <si>
    <t>2025-08-08</t>
  </si>
  <si>
    <t>2025-07-20</t>
  </si>
  <si>
    <t>2025-04-02</t>
  </si>
  <si>
    <t>2025-04-29</t>
  </si>
  <si>
    <t>2025-04-28</t>
  </si>
  <si>
    <t>2025-07-30</t>
  </si>
  <si>
    <t>2025-08-18</t>
  </si>
  <si>
    <t>2025-01-03</t>
  </si>
  <si>
    <t>2025-09-19</t>
  </si>
  <si>
    <t>2025-05-31</t>
  </si>
  <si>
    <t>2025-05-24</t>
  </si>
  <si>
    <t>Metric</t>
  </si>
  <si>
    <t>Formula / Description</t>
  </si>
  <si>
    <t>Gross Profit</t>
  </si>
  <si>
    <t>Operating Profit</t>
  </si>
  <si>
    <t>Gross Margin %</t>
  </si>
  <si>
    <t>Operating Margin %</t>
  </si>
  <si>
    <t>Gross profit</t>
  </si>
  <si>
    <t xml:space="preserve">Operating Profit </t>
  </si>
  <si>
    <t>Month</t>
  </si>
  <si>
    <t>Quarter</t>
  </si>
  <si>
    <t>Year</t>
  </si>
  <si>
    <t>Profit Margin %</t>
  </si>
  <si>
    <t>Grand Total</t>
  </si>
  <si>
    <t>Row Labels</t>
  </si>
  <si>
    <t>Sum of Revenue</t>
  </si>
  <si>
    <t>Sum of Gross profit</t>
  </si>
  <si>
    <t xml:space="preserve">Sum of Operating Profit </t>
  </si>
  <si>
    <t>January</t>
  </si>
  <si>
    <t>February</t>
  </si>
  <si>
    <t>March</t>
  </si>
  <si>
    <t>April</t>
  </si>
  <si>
    <t>May</t>
  </si>
  <si>
    <t>June</t>
  </si>
  <si>
    <t>July</t>
  </si>
  <si>
    <t>August</t>
  </si>
  <si>
    <t>September</t>
  </si>
  <si>
    <t>October</t>
  </si>
  <si>
    <t>November</t>
  </si>
  <si>
    <t>December</t>
  </si>
  <si>
    <t>FINANCIAL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</si>
</sst>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5" x14ac:knownFonts="1">
    <font>
      <sz val="11"/>
      <color theme="1"/>
      <name val="Aptos Narrow"/>
      <family val="2"/>
      <scheme val="minor"/>
    </font>
    <font>
      <sz val="11"/>
      <color theme="1"/>
      <name val="Aptos Narrow"/>
      <family val="2"/>
      <scheme val="minor"/>
    </font>
    <font>
      <b/>
      <sz val="11"/>
      <name val="Calibri"/>
    </font>
    <font>
      <b/>
      <sz val="11"/>
      <name val="Calibri"/>
      <family val="2"/>
    </font>
    <font>
      <sz val="48"/>
      <color theme="1" tint="4.9989318521683403E-2"/>
      <name val="Algerian"/>
      <family val="5"/>
    </font>
  </fonts>
  <fills count="4">
    <fill>
      <patternFill patternType="none"/>
    </fill>
    <fill>
      <patternFill patternType="gray125"/>
    </fill>
    <fill>
      <patternFill patternType="solid">
        <fgColor theme="1" tint="0.34998626667073579"/>
        <bgColor indexed="64"/>
      </patternFill>
    </fill>
    <fill>
      <patternFill patternType="solid">
        <fgColor theme="7"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9" fontId="0" fillId="0" borderId="0" xfId="1" applyFont="1"/>
    <xf numFmtId="164" fontId="0" fillId="0" borderId="0" xfId="0" applyNumberFormat="1"/>
    <xf numFmtId="14" fontId="0" fillId="0" borderId="0" xfId="0" applyNumberFormat="1"/>
    <xf numFmtId="14" fontId="2" fillId="0" borderId="1" xfId="0" applyNumberFormat="1" applyFont="1" applyBorder="1"/>
    <xf numFmtId="0" fontId="2" fillId="0" borderId="1" xfId="0" applyFont="1" applyBorder="1"/>
    <xf numFmtId="164" fontId="2" fillId="0" borderId="1" xfId="0" applyNumberFormat="1" applyFont="1" applyBorder="1"/>
    <xf numFmtId="9" fontId="2" fillId="0" borderId="1" xfId="1" applyFont="1" applyBorder="1"/>
    <xf numFmtId="0" fontId="0" fillId="0" borderId="1" xfId="0" applyBorder="1"/>
    <xf numFmtId="14" fontId="0" fillId="0" borderId="1" xfId="0" applyNumberFormat="1" applyBorder="1"/>
    <xf numFmtId="164" fontId="0" fillId="0" borderId="1" xfId="0" applyNumberFormat="1" applyBorder="1"/>
    <xf numFmtId="9" fontId="0" fillId="0" borderId="1" xfId="1" applyFont="1" applyBorder="1"/>
    <xf numFmtId="164" fontId="3" fillId="0" borderId="1" xfId="0" applyNumberFormat="1" applyFont="1" applyBorder="1"/>
    <xf numFmtId="0" fontId="0" fillId="0" borderId="0" xfId="0" pivotButton="1"/>
    <xf numFmtId="0" fontId="0" fillId="0" borderId="0" xfId="0" applyAlignment="1">
      <alignment horizontal="left"/>
    </xf>
    <xf numFmtId="0" fontId="0" fillId="2" borderId="0" xfId="0" applyFill="1"/>
    <xf numFmtId="0" fontId="4" fillId="3" borderId="1"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[FINANCIAL SALES DASHBOARD.xlsx]Pivot Table!PivotTable1</c:name>
    <c:fmtId val="8"/>
  </c:pivotSource>
  <c:chart>
    <c:autoTitleDeleted val="1"/>
    <c:pivotFmts>
      <c:pivotFmt>
        <c:idx val="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24000" sy="24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sx="24000" sy="24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28076359775846"/>
          <c:y val="0.15213560111457938"/>
          <c:w val="0.74989884076990376"/>
          <c:h val="0.65040416211318786"/>
        </c:manualLayout>
      </c:layout>
      <c:barChart>
        <c:barDir val="col"/>
        <c:grouping val="clustered"/>
        <c:varyColors val="0"/>
        <c:ser>
          <c:idx val="0"/>
          <c:order val="0"/>
          <c:tx>
            <c:strRef>
              <c:f>'Pivot Table'!$B$3</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'Pivot Table'!$A$4:$A$8</c:f>
              <c:strCache>
                <c:ptCount val="4"/>
                <c:pt idx="0">
                  <c:v>East</c:v>
                </c:pt>
                <c:pt idx="1">
                  <c:v>North</c:v>
                </c:pt>
                <c:pt idx="2">
                  <c:v>South</c:v>
                </c:pt>
                <c:pt idx="3">
                  <c:v>West</c:v>
                </c:pt>
              </c:strCache>
            </c:strRef>
          </c:cat>
          <c:val>
            <c:numRef>
              <c:f>'Pivot Table'!$B$4:$B$8</c:f>
              <c:numCache>
                <c:formatCode>_ [$₹-4009]\ * #,##0_ ;_ [$₹-4009]\ * \-#,##0_ ;_ [$₹-4009]\ * "-"??_ ;_ @_ </c:formatCode>
                <c:ptCount val="4"/>
                <c:pt idx="0">
                  <c:v>3458830</c:v>
                </c:pt>
                <c:pt idx="1">
                  <c:v>3348591</c:v>
                </c:pt>
                <c:pt idx="2">
                  <c:v>3353644</c:v>
                </c:pt>
                <c:pt idx="3">
                  <c:v>3386008</c:v>
                </c:pt>
              </c:numCache>
            </c:numRef>
          </c:val>
          <c:extLst>
            <c:ext xmlns:c16="http://schemas.microsoft.com/office/drawing/2014/chart" uri="{C3380CC4-5D6E-409C-BE32-E72D297353CC}">
              <c16:uniqueId val="{00000000-F7C9-42C7-A25F-9A33EAFE1EB0}"/>
            </c:ext>
          </c:extLst>
        </c:ser>
        <c:dLbls>
          <c:showLegendKey val="0"/>
          <c:showVal val="0"/>
          <c:showCatName val="0"/>
          <c:showSerName val="0"/>
          <c:showPercent val="0"/>
          <c:showBubbleSize val="0"/>
        </c:dLbls>
        <c:gapWidth val="355"/>
        <c:overlap val="-70"/>
        <c:axId val="1724122400"/>
        <c:axId val="1724131040"/>
      </c:barChart>
      <c:catAx>
        <c:axId val="172412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effectLst>
                  <a:outerShdw blurRad="50800" dist="50800" dir="5400000" sx="24000" sy="24000" algn="ctr" rotWithShape="0">
                    <a:srgbClr val="000000">
                      <a:alpha val="43137"/>
                    </a:srgbClr>
                  </a:outerShdw>
                </a:effectLst>
                <a:latin typeface="+mn-lt"/>
                <a:ea typeface="+mn-ea"/>
                <a:cs typeface="+mn-cs"/>
              </a:defRPr>
            </a:pPr>
            <a:endParaRPr lang="en-US"/>
          </a:p>
        </c:txPr>
        <c:crossAx val="1724131040"/>
        <c:crosses val="autoZero"/>
        <c:auto val="1"/>
        <c:lblAlgn val="ctr"/>
        <c:lblOffset val="100"/>
        <c:noMultiLvlLbl val="0"/>
      </c:catAx>
      <c:valAx>
        <c:axId val="1724131040"/>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effectLst>
                  <a:outerShdw blurRad="50800" dist="50800" dir="5400000" sx="24000" sy="24000" algn="ctr" rotWithShape="0">
                    <a:srgbClr val="000000">
                      <a:alpha val="43137"/>
                    </a:srgbClr>
                  </a:outerShdw>
                </a:effectLst>
                <a:latin typeface="+mn-lt"/>
                <a:ea typeface="+mn-ea"/>
                <a:cs typeface="+mn-cs"/>
              </a:defRPr>
            </a:pPr>
            <a:endParaRPr lang="en-US"/>
          </a:p>
        </c:txPr>
        <c:crossAx val="172412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solidFill>
            <a:schemeClr val="tx1">
              <a:lumMod val="95000"/>
              <a:lumOff val="5000"/>
            </a:schemeClr>
          </a:solidFill>
          <a:effectLst>
            <a:outerShdw blurRad="50800" dist="50800" dir="5400000" sx="24000" sy="24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SALES DASHBOARD.xlsx]Pivot Table!PivotTable2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A21-49EA-AA91-6A4088C85E2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A21-49EA-AA91-6A4088C85E2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A21-49EA-AA91-6A4088C85E2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A21-49EA-AA91-6A4088C85E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Alpha</c:v>
                </c:pt>
                <c:pt idx="1">
                  <c:v>Beta</c:v>
                </c:pt>
                <c:pt idx="2">
                  <c:v>Delta</c:v>
                </c:pt>
                <c:pt idx="3">
                  <c:v>Gamma</c:v>
                </c:pt>
              </c:strCache>
            </c:strRef>
          </c:cat>
          <c:val>
            <c:numRef>
              <c:f>'Pivot Table'!$E$4:$E$8</c:f>
              <c:numCache>
                <c:formatCode>_ [$₹-4009]\ * #,##0_ ;_ [$₹-4009]\ * \-#,##0_ ;_ [$₹-4009]\ * "-"??_ ;_ @_ </c:formatCode>
                <c:ptCount val="4"/>
                <c:pt idx="0">
                  <c:v>3566602</c:v>
                </c:pt>
                <c:pt idx="1">
                  <c:v>2875241</c:v>
                </c:pt>
                <c:pt idx="2">
                  <c:v>3718231</c:v>
                </c:pt>
                <c:pt idx="3">
                  <c:v>3386999</c:v>
                </c:pt>
              </c:numCache>
            </c:numRef>
          </c:val>
          <c:extLst>
            <c:ext xmlns:c16="http://schemas.microsoft.com/office/drawing/2014/chart" uri="{C3380CC4-5D6E-409C-BE32-E72D297353CC}">
              <c16:uniqueId val="{00000000-72E1-4CBF-B3C3-15A2B2C9875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[FINANCIAL SALES DASHBOARD.xlsx]Pivot Table!PivotTable3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6"/>
                </a:solidFill>
              </a:ln>
              <a:effectLst/>
            </c:spPr>
            <c:trendlineType val="linear"/>
            <c:dispRSqr val="0"/>
            <c:dispEq val="0"/>
          </c:trendline>
          <c:trendline>
            <c:spPr>
              <a:ln w="19050" cap="rnd">
                <a:solidFill>
                  <a:schemeClr val="accent6"/>
                </a:solidFill>
              </a:ln>
              <a:effectLst/>
            </c:spPr>
            <c:trendlineType val="linear"/>
            <c:dispRSqr val="0"/>
            <c:dispEq val="0"/>
          </c:trendline>
          <c:trendline>
            <c:spPr>
              <a:ln w="19050" cap="rnd">
                <a:solidFill>
                  <a:schemeClr val="accent6"/>
                </a:solidFill>
              </a:ln>
              <a:effectLst/>
            </c:spPr>
            <c:trendlineType val="linear"/>
            <c:dispRSqr val="0"/>
            <c:dispEq val="0"/>
          </c:trendline>
          <c:cat>
            <c:strRef>
              <c:f>'Pivot Table'!$A$12:$A$14</c:f>
              <c:strCache>
                <c:ptCount val="2"/>
                <c:pt idx="0">
                  <c:v>Enterprise</c:v>
                </c:pt>
                <c:pt idx="1">
                  <c:v>Retail</c:v>
                </c:pt>
              </c:strCache>
            </c:strRef>
          </c:cat>
          <c:val>
            <c:numRef>
              <c:f>'Pivot Table'!$B$12:$B$14</c:f>
              <c:numCache>
                <c:formatCode>_ [$₹-4009]\ * #,##0_ ;_ [$₹-4009]\ * \-#,##0_ ;_ [$₹-4009]\ * "-"??_ ;_ @_ </c:formatCode>
                <c:ptCount val="2"/>
                <c:pt idx="0">
                  <c:v>2612886.1599999988</c:v>
                </c:pt>
                <c:pt idx="1">
                  <c:v>2817381.689999999</c:v>
                </c:pt>
              </c:numCache>
            </c:numRef>
          </c:val>
          <c:smooth val="0"/>
          <c:extLst>
            <c:ext xmlns:c16="http://schemas.microsoft.com/office/drawing/2014/chart" uri="{C3380CC4-5D6E-409C-BE32-E72D297353CC}">
              <c16:uniqueId val="{00000000-0ED1-4079-8A03-A28424FFF9BB}"/>
            </c:ext>
          </c:extLst>
        </c:ser>
        <c:dLbls>
          <c:dLblPos val="t"/>
          <c:showLegendKey val="0"/>
          <c:showVal val="1"/>
          <c:showCatName val="0"/>
          <c:showSerName val="0"/>
          <c:showPercent val="0"/>
          <c:showBubbleSize val="0"/>
        </c:dLbls>
        <c:marker val="1"/>
        <c:smooth val="0"/>
        <c:axId val="1858367568"/>
        <c:axId val="1858337808"/>
      </c:lineChart>
      <c:catAx>
        <c:axId val="1858367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8337808"/>
        <c:crosses val="autoZero"/>
        <c:auto val="1"/>
        <c:lblAlgn val="ctr"/>
        <c:lblOffset val="100"/>
        <c:noMultiLvlLbl val="0"/>
      </c:catAx>
      <c:valAx>
        <c:axId val="1858337808"/>
        <c:scaling>
          <c:orientation val="minMax"/>
        </c:scaling>
        <c:delete val="1"/>
        <c:axPos val="l"/>
        <c:numFmt formatCode="_ [$₹-4009]\ * #,##0_ ;_ [$₹-4009]\ * \-#,##0_ ;_ [$₹-4009]\ * &quot;-&quot;??_ ;_ @_ " sourceLinked="1"/>
        <c:majorTickMark val="none"/>
        <c:minorTickMark val="none"/>
        <c:tickLblPos val="nextTo"/>
        <c:crossAx val="185836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5400000" scaled="1"/>
      <a:tileRect/>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[FINANCIAL SALES DASHBOARD.xlsx]Pivot Table!PivotTable4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Table'!$E$11</c:f>
              <c:strCache>
                <c:ptCount val="1"/>
                <c:pt idx="0">
                  <c:v>Sum of Revenue</c:v>
                </c:pt>
              </c:strCache>
            </c:strRef>
          </c:tx>
          <c:spPr>
            <a:gradFill flip="none" rotWithShape="1">
              <a:gsLst>
                <a:gs pos="0">
                  <a:schemeClr val="accent3">
                    <a:shade val="76000"/>
                  </a:schemeClr>
                </a:gs>
                <a:gs pos="75000">
                  <a:schemeClr val="accent3">
                    <a:shade val="76000"/>
                    <a:lumMod val="60000"/>
                    <a:lumOff val="40000"/>
                  </a:schemeClr>
                </a:gs>
                <a:gs pos="51000">
                  <a:schemeClr val="accent3">
                    <a:shade val="76000"/>
                    <a:alpha val="75000"/>
                  </a:schemeClr>
                </a:gs>
                <a:gs pos="100000">
                  <a:schemeClr val="accent3">
                    <a:shade val="76000"/>
                    <a:lumMod val="20000"/>
                    <a:lumOff val="80000"/>
                    <a:alpha val="15000"/>
                  </a:schemeClr>
                </a:gs>
              </a:gsLst>
              <a:lin ang="5400000" scaled="0"/>
            </a:gradFill>
            <a:ln>
              <a:noFill/>
            </a:ln>
            <a:effectLst/>
          </c:spPr>
          <c:invertIfNegative val="0"/>
          <c:cat>
            <c:strRef>
              <c:f>'Pivot Table'!$D$12:$D$15</c:f>
              <c:strCache>
                <c:ptCount val="3"/>
                <c:pt idx="0">
                  <c:v>Consumer</c:v>
                </c:pt>
                <c:pt idx="1">
                  <c:v>Corporate</c:v>
                </c:pt>
                <c:pt idx="2">
                  <c:v>SMB</c:v>
                </c:pt>
              </c:strCache>
            </c:strRef>
          </c:cat>
          <c:val>
            <c:numRef>
              <c:f>'Pivot Table'!$E$12:$E$15</c:f>
              <c:numCache>
                <c:formatCode>_ [$₹-4009]\ * #,##0_ ;_ [$₹-4009]\ * \-#,##0_ ;_ [$₹-4009]\ * "-"??_ ;_ @_ </c:formatCode>
                <c:ptCount val="3"/>
                <c:pt idx="0">
                  <c:v>4416535</c:v>
                </c:pt>
                <c:pt idx="1">
                  <c:v>4414834</c:v>
                </c:pt>
                <c:pt idx="2">
                  <c:v>4715704</c:v>
                </c:pt>
              </c:numCache>
            </c:numRef>
          </c:val>
          <c:extLst>
            <c:ext xmlns:c16="http://schemas.microsoft.com/office/drawing/2014/chart" uri="{C3380CC4-5D6E-409C-BE32-E72D297353CC}">
              <c16:uniqueId val="{00000000-625E-4648-9412-A33CED04C9C0}"/>
            </c:ext>
          </c:extLst>
        </c:ser>
        <c:ser>
          <c:idx val="1"/>
          <c:order val="1"/>
          <c:tx>
            <c:strRef>
              <c:f>'Pivot Table'!$F$11</c:f>
              <c:strCache>
                <c:ptCount val="1"/>
                <c:pt idx="0">
                  <c:v>Sum of Operating Profit </c:v>
                </c:pt>
              </c:strCache>
            </c:strRef>
          </c:tx>
          <c:spPr>
            <a:gradFill flip="none" rotWithShape="1">
              <a:gsLst>
                <a:gs pos="0">
                  <a:schemeClr val="accent3">
                    <a:tint val="77000"/>
                  </a:schemeClr>
                </a:gs>
                <a:gs pos="75000">
                  <a:schemeClr val="accent3">
                    <a:tint val="77000"/>
                    <a:lumMod val="60000"/>
                    <a:lumOff val="40000"/>
                  </a:schemeClr>
                </a:gs>
                <a:gs pos="51000">
                  <a:schemeClr val="accent3">
                    <a:tint val="77000"/>
                    <a:alpha val="75000"/>
                  </a:schemeClr>
                </a:gs>
                <a:gs pos="100000">
                  <a:schemeClr val="accent3">
                    <a:tint val="77000"/>
                    <a:lumMod val="20000"/>
                    <a:lumOff val="80000"/>
                    <a:alpha val="15000"/>
                  </a:schemeClr>
                </a:gs>
              </a:gsLst>
              <a:lin ang="5400000" scaled="0"/>
            </a:gradFill>
            <a:ln>
              <a:noFill/>
            </a:ln>
            <a:effectLst/>
          </c:spPr>
          <c:invertIfNegative val="0"/>
          <c:cat>
            <c:strRef>
              <c:f>'Pivot Table'!$D$12:$D$15</c:f>
              <c:strCache>
                <c:ptCount val="3"/>
                <c:pt idx="0">
                  <c:v>Consumer</c:v>
                </c:pt>
                <c:pt idx="1">
                  <c:v>Corporate</c:v>
                </c:pt>
                <c:pt idx="2">
                  <c:v>SMB</c:v>
                </c:pt>
              </c:strCache>
            </c:strRef>
          </c:cat>
          <c:val>
            <c:numRef>
              <c:f>'Pivot Table'!$F$12:$F$15</c:f>
              <c:numCache>
                <c:formatCode>_ [$₹-4009]\ * #,##0_ ;_ [$₹-4009]\ * \-#,##0_ ;_ [$₹-4009]\ * "-"??_ ;_ @_ </c:formatCode>
                <c:ptCount val="3"/>
                <c:pt idx="0">
                  <c:v>1076124.7000000002</c:v>
                </c:pt>
                <c:pt idx="1">
                  <c:v>1047820.1400000001</c:v>
                </c:pt>
                <c:pt idx="2">
                  <c:v>1220101.53</c:v>
                </c:pt>
              </c:numCache>
            </c:numRef>
          </c:val>
          <c:extLst>
            <c:ext xmlns:c16="http://schemas.microsoft.com/office/drawing/2014/chart" uri="{C3380CC4-5D6E-409C-BE32-E72D297353CC}">
              <c16:uniqueId val="{00000001-625E-4648-9412-A33CED04C9C0}"/>
            </c:ext>
          </c:extLst>
        </c:ser>
        <c:dLbls>
          <c:showLegendKey val="0"/>
          <c:showVal val="0"/>
          <c:showCatName val="0"/>
          <c:showSerName val="0"/>
          <c:showPercent val="0"/>
          <c:showBubbleSize val="0"/>
        </c:dLbls>
        <c:gapWidth val="355"/>
        <c:overlap val="-70"/>
        <c:axId val="1858395888"/>
        <c:axId val="1858374768"/>
      </c:barChart>
      <c:valAx>
        <c:axId val="1858374768"/>
        <c:scaling>
          <c:orientation val="minMax"/>
        </c:scaling>
        <c:delete val="0"/>
        <c:axPos val="r"/>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95888"/>
        <c:crosses val="max"/>
        <c:crossBetween val="between"/>
      </c:valAx>
      <c:catAx>
        <c:axId val="185839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747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[FINANCIAL SALES DASHBOARD.xlsx]Pivot Table!PivotTable5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Table'!$E$18</c:f>
              <c:strCache>
                <c:ptCount val="1"/>
                <c:pt idx="0">
                  <c:v>Sum of Revenue</c:v>
                </c:pt>
              </c:strCache>
            </c:strRef>
          </c:tx>
          <c:spPr>
            <a:gradFill flip="none" rotWithShape="1">
              <a:gsLst>
                <a:gs pos="0">
                  <a:schemeClr val="accent3">
                    <a:shade val="76000"/>
                  </a:schemeClr>
                </a:gs>
                <a:gs pos="75000">
                  <a:schemeClr val="accent3">
                    <a:shade val="76000"/>
                    <a:lumMod val="60000"/>
                    <a:lumOff val="40000"/>
                  </a:schemeClr>
                </a:gs>
                <a:gs pos="51000">
                  <a:schemeClr val="accent3">
                    <a:shade val="76000"/>
                    <a:alpha val="75000"/>
                  </a:schemeClr>
                </a:gs>
                <a:gs pos="100000">
                  <a:schemeClr val="accent3">
                    <a:shade val="76000"/>
                    <a:lumMod val="20000"/>
                    <a:lumOff val="80000"/>
                    <a:alpha val="15000"/>
                  </a:schemeClr>
                </a:gs>
              </a:gsLst>
              <a:lin ang="10800000" scaled="1"/>
              <a:tileRect/>
            </a:gradFill>
            <a:ln>
              <a:noFill/>
            </a:ln>
            <a:effectLst/>
          </c:spPr>
          <c:invertIfNegative val="0"/>
          <c:cat>
            <c:strRef>
              <c:f>'Pivot Table'!$D$19:$D$31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Table'!$E$19:$E$31</c:f>
              <c:numCache>
                <c:formatCode>_ [$₹-4009]\ * #,##0_ ;_ [$₹-4009]\ * \-#,##0_ ;_ [$₹-4009]\ * "-"??_ ;_ @_ </c:formatCode>
                <c:ptCount val="12"/>
                <c:pt idx="0">
                  <c:v>830101</c:v>
                </c:pt>
                <c:pt idx="1">
                  <c:v>1280149</c:v>
                </c:pt>
                <c:pt idx="2">
                  <c:v>1148255</c:v>
                </c:pt>
                <c:pt idx="3">
                  <c:v>1220233</c:v>
                </c:pt>
                <c:pt idx="4">
                  <c:v>1162532</c:v>
                </c:pt>
                <c:pt idx="5">
                  <c:v>819327</c:v>
                </c:pt>
                <c:pt idx="6">
                  <c:v>1531656</c:v>
                </c:pt>
                <c:pt idx="7">
                  <c:v>1029786</c:v>
                </c:pt>
                <c:pt idx="8">
                  <c:v>979455</c:v>
                </c:pt>
                <c:pt idx="9">
                  <c:v>1289423</c:v>
                </c:pt>
                <c:pt idx="10">
                  <c:v>904483</c:v>
                </c:pt>
                <c:pt idx="11">
                  <c:v>1351673</c:v>
                </c:pt>
              </c:numCache>
            </c:numRef>
          </c:val>
          <c:extLst>
            <c:ext xmlns:c16="http://schemas.microsoft.com/office/drawing/2014/chart" uri="{C3380CC4-5D6E-409C-BE32-E72D297353CC}">
              <c16:uniqueId val="{00000000-39F2-478B-9838-62B8F4E6C6AB}"/>
            </c:ext>
          </c:extLst>
        </c:ser>
        <c:ser>
          <c:idx val="1"/>
          <c:order val="1"/>
          <c:tx>
            <c:strRef>
              <c:f>'Pivot Table'!$F$18</c:f>
              <c:strCache>
                <c:ptCount val="1"/>
                <c:pt idx="0">
                  <c:v>Sum of Operating Profit </c:v>
                </c:pt>
              </c:strCache>
            </c:strRef>
          </c:tx>
          <c:spPr>
            <a:gradFill flip="none" rotWithShape="1">
              <a:gsLst>
                <a:gs pos="0">
                  <a:schemeClr val="accent3">
                    <a:tint val="77000"/>
                  </a:schemeClr>
                </a:gs>
                <a:gs pos="75000">
                  <a:schemeClr val="accent3">
                    <a:tint val="77000"/>
                    <a:lumMod val="60000"/>
                    <a:lumOff val="40000"/>
                  </a:schemeClr>
                </a:gs>
                <a:gs pos="51000">
                  <a:schemeClr val="accent3">
                    <a:tint val="77000"/>
                    <a:alpha val="75000"/>
                  </a:schemeClr>
                </a:gs>
                <a:gs pos="100000">
                  <a:schemeClr val="accent3">
                    <a:tint val="77000"/>
                    <a:lumMod val="20000"/>
                    <a:lumOff val="80000"/>
                    <a:alpha val="15000"/>
                  </a:schemeClr>
                </a:gs>
              </a:gsLst>
              <a:lin ang="10800000" scaled="1"/>
              <a:tileRect/>
            </a:gradFill>
            <a:ln>
              <a:noFill/>
            </a:ln>
            <a:effectLst/>
          </c:spPr>
          <c:invertIfNegative val="0"/>
          <c:cat>
            <c:strRef>
              <c:f>'Pivot Table'!$D$19:$D$31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Table'!$F$19:$F$31</c:f>
              <c:numCache>
                <c:formatCode>_ [$₹-4009]\ * #,##0_ ;_ [$₹-4009]\ * \-#,##0_ ;_ [$₹-4009]\ * "-"??_ ;_ @_ </c:formatCode>
                <c:ptCount val="12"/>
                <c:pt idx="0">
                  <c:v>210230.03000000003</c:v>
                </c:pt>
                <c:pt idx="1">
                  <c:v>295664.97000000003</c:v>
                </c:pt>
                <c:pt idx="2">
                  <c:v>282781.51</c:v>
                </c:pt>
                <c:pt idx="3">
                  <c:v>322099.20000000001</c:v>
                </c:pt>
                <c:pt idx="4">
                  <c:v>278856.23</c:v>
                </c:pt>
                <c:pt idx="5">
                  <c:v>214318.62999999998</c:v>
                </c:pt>
                <c:pt idx="6">
                  <c:v>354287.20999999996</c:v>
                </c:pt>
                <c:pt idx="7">
                  <c:v>237386.21</c:v>
                </c:pt>
                <c:pt idx="8">
                  <c:v>255882.62</c:v>
                </c:pt>
                <c:pt idx="9">
                  <c:v>326201.53000000003</c:v>
                </c:pt>
                <c:pt idx="10">
                  <c:v>207242.32000000004</c:v>
                </c:pt>
                <c:pt idx="11">
                  <c:v>359095.90999999986</c:v>
                </c:pt>
              </c:numCache>
            </c:numRef>
          </c:val>
          <c:extLst>
            <c:ext xmlns:c16="http://schemas.microsoft.com/office/drawing/2014/chart" uri="{C3380CC4-5D6E-409C-BE32-E72D297353CC}">
              <c16:uniqueId val="{00000000-253D-45F2-B2B0-EB15ABA2A0B2}"/>
            </c:ext>
          </c:extLst>
        </c:ser>
        <c:dLbls>
          <c:showLegendKey val="0"/>
          <c:showVal val="0"/>
          <c:showCatName val="0"/>
          <c:showSerName val="0"/>
          <c:showPercent val="0"/>
          <c:showBubbleSize val="0"/>
        </c:dLbls>
        <c:gapWidth val="326"/>
        <c:overlap val="-58"/>
        <c:axId val="1766665920"/>
        <c:axId val="1766666400"/>
      </c:barChart>
      <c:catAx>
        <c:axId val="17666659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66666400"/>
        <c:crosses val="autoZero"/>
        <c:auto val="1"/>
        <c:lblAlgn val="ctr"/>
        <c:lblOffset val="100"/>
        <c:noMultiLvlLbl val="0"/>
      </c:catAx>
      <c:valAx>
        <c:axId val="1766666400"/>
        <c:scaling>
          <c:orientation val="minMax"/>
        </c:scaling>
        <c:delete val="0"/>
        <c:axPos val="b"/>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6666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95000"/>
          <a:lumOff val="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ivot Table'!A1"/><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438150</xdr:colOff>
      <xdr:row>12</xdr:row>
      <xdr:rowOff>0</xdr:rowOff>
    </xdr:from>
    <xdr:to>
      <xdr:col>8</xdr:col>
      <xdr:colOff>1323975</xdr:colOff>
      <xdr:row>19</xdr:row>
      <xdr:rowOff>95250</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0CBE6A2B-2C96-351F-B81F-58DDE8854FA7}"/>
            </a:ext>
          </a:extLst>
        </xdr:cNvPr>
        <xdr:cNvSpPr/>
      </xdr:nvSpPr>
      <xdr:spPr>
        <a:xfrm>
          <a:off x="8705850" y="2286000"/>
          <a:ext cx="2409825" cy="14287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600074</xdr:colOff>
      <xdr:row>11</xdr:row>
      <xdr:rowOff>180975</xdr:rowOff>
    </xdr:from>
    <xdr:to>
      <xdr:col>7</xdr:col>
      <xdr:colOff>0</xdr:colOff>
      <xdr:row>22</xdr:row>
      <xdr:rowOff>180974</xdr:rowOff>
    </xdr:to>
    <xdr:graphicFrame macro="">
      <xdr:nvGraphicFramePr>
        <xdr:cNvPr id="2" name="Chart 1">
          <a:extLst>
            <a:ext uri="{FF2B5EF4-FFF2-40B4-BE49-F238E27FC236}">
              <a16:creationId xmlns:a16="http://schemas.microsoft.com/office/drawing/2014/main" id="{215EAADD-57BB-82CA-86DD-3316B0B4B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11</xdr:row>
      <xdr:rowOff>180976</xdr:rowOff>
    </xdr:from>
    <xdr:to>
      <xdr:col>13</xdr:col>
      <xdr:colOff>0</xdr:colOff>
      <xdr:row>22</xdr:row>
      <xdr:rowOff>171450</xdr:rowOff>
    </xdr:to>
    <xdr:graphicFrame macro="">
      <xdr:nvGraphicFramePr>
        <xdr:cNvPr id="3" name="Chart 2">
          <a:extLst>
            <a:ext uri="{FF2B5EF4-FFF2-40B4-BE49-F238E27FC236}">
              <a16:creationId xmlns:a16="http://schemas.microsoft.com/office/drawing/2014/main" id="{F85017A5-1155-7792-6040-7D40CCA85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24</xdr:row>
      <xdr:rowOff>180976</xdr:rowOff>
    </xdr:from>
    <xdr:to>
      <xdr:col>7</xdr:col>
      <xdr:colOff>0</xdr:colOff>
      <xdr:row>35</xdr:row>
      <xdr:rowOff>180976</xdr:rowOff>
    </xdr:to>
    <xdr:graphicFrame macro="">
      <xdr:nvGraphicFramePr>
        <xdr:cNvPr id="4" name="Chart 3">
          <a:extLst>
            <a:ext uri="{FF2B5EF4-FFF2-40B4-BE49-F238E27FC236}">
              <a16:creationId xmlns:a16="http://schemas.microsoft.com/office/drawing/2014/main" id="{87B0BFD8-87D2-7CF7-50CE-7D7196C1C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25</xdr:row>
      <xdr:rowOff>0</xdr:rowOff>
    </xdr:from>
    <xdr:to>
      <xdr:col>13</xdr:col>
      <xdr:colOff>9524</xdr:colOff>
      <xdr:row>36</xdr:row>
      <xdr:rowOff>1</xdr:rowOff>
    </xdr:to>
    <xdr:graphicFrame macro="">
      <xdr:nvGraphicFramePr>
        <xdr:cNvPr id="5" name="Chart 4">
          <a:extLst>
            <a:ext uri="{FF2B5EF4-FFF2-40B4-BE49-F238E27FC236}">
              <a16:creationId xmlns:a16="http://schemas.microsoft.com/office/drawing/2014/main" id="{13A79B54-621F-476C-B183-D442DA893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xdr:colOff>
      <xdr:row>38</xdr:row>
      <xdr:rowOff>9525</xdr:rowOff>
    </xdr:from>
    <xdr:to>
      <xdr:col>11</xdr:col>
      <xdr:colOff>9525</xdr:colOff>
      <xdr:row>48</xdr:row>
      <xdr:rowOff>180974</xdr:rowOff>
    </xdr:to>
    <xdr:graphicFrame macro="">
      <xdr:nvGraphicFramePr>
        <xdr:cNvPr id="6" name="Chart 5">
          <a:extLst>
            <a:ext uri="{FF2B5EF4-FFF2-40B4-BE49-F238E27FC236}">
              <a16:creationId xmlns:a16="http://schemas.microsoft.com/office/drawing/2014/main" id="{794ECA29-35B0-A71C-0A8D-E119B112C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295275</xdr:colOff>
      <xdr:row>22</xdr:row>
      <xdr:rowOff>114300</xdr:rowOff>
    </xdr:from>
    <xdr:to>
      <xdr:col>19</xdr:col>
      <xdr:colOff>514350</xdr:colOff>
      <xdr:row>29</xdr:row>
      <xdr:rowOff>38100</xdr:rowOff>
    </xdr:to>
    <xdr:sp macro="" textlink="">
      <xdr:nvSpPr>
        <xdr:cNvPr id="7" name="Arrow: Left 6">
          <a:hlinkClick xmlns:r="http://schemas.openxmlformats.org/officeDocument/2006/relationships" r:id="rId6"/>
          <a:extLst>
            <a:ext uri="{FF2B5EF4-FFF2-40B4-BE49-F238E27FC236}">
              <a16:creationId xmlns:a16="http://schemas.microsoft.com/office/drawing/2014/main" id="{B7E50EFC-67B6-8EF2-5C2A-46BDC14861D4}"/>
            </a:ext>
          </a:extLst>
        </xdr:cNvPr>
        <xdr:cNvSpPr/>
      </xdr:nvSpPr>
      <xdr:spPr>
        <a:xfrm>
          <a:off x="10048875" y="4305300"/>
          <a:ext cx="2047875" cy="12573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495300</xdr:colOff>
      <xdr:row>10</xdr:row>
      <xdr:rowOff>19050</xdr:rowOff>
    </xdr:from>
    <xdr:to>
      <xdr:col>23</xdr:col>
      <xdr:colOff>104775</xdr:colOff>
      <xdr:row>17</xdr:row>
      <xdr:rowOff>19050</xdr:rowOff>
    </xdr:to>
    <xdr:sp macro="" textlink="">
      <xdr:nvSpPr>
        <xdr:cNvPr id="13" name="Rectangle: Rounded Corners 12">
          <a:extLst>
            <a:ext uri="{FF2B5EF4-FFF2-40B4-BE49-F238E27FC236}">
              <a16:creationId xmlns:a16="http://schemas.microsoft.com/office/drawing/2014/main" id="{CF375730-14D3-CD8B-192D-2ADDD409508E}"/>
            </a:ext>
          </a:extLst>
        </xdr:cNvPr>
        <xdr:cNvSpPr/>
      </xdr:nvSpPr>
      <xdr:spPr>
        <a:xfrm>
          <a:off x="9639300" y="1924050"/>
          <a:ext cx="4486275" cy="1333500"/>
        </a:xfrm>
        <a:prstGeom prst="roundRect">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9525</xdr:colOff>
      <xdr:row>11</xdr:row>
      <xdr:rowOff>9526</xdr:rowOff>
    </xdr:from>
    <xdr:to>
      <xdr:col>19</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7C25FAE-9EE6-992E-B004-C84880D510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63125" y="2105026"/>
              <a:ext cx="1819275"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9524</xdr:colOff>
      <xdr:row>11</xdr:row>
      <xdr:rowOff>19049</xdr:rowOff>
    </xdr:from>
    <xdr:to>
      <xdr:col>22</xdr:col>
      <xdr:colOff>609599</xdr:colOff>
      <xdr:row>16</xdr:row>
      <xdr:rowOff>19050</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1E0A2C0A-EF53-44AA-7B67-53AD70B1158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201524" y="2114549"/>
              <a:ext cx="1819275" cy="952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495300</xdr:colOff>
      <xdr:row>31</xdr:row>
      <xdr:rowOff>0</xdr:rowOff>
    </xdr:from>
    <xdr:to>
      <xdr:col>23</xdr:col>
      <xdr:colOff>133350</xdr:colOff>
      <xdr:row>40</xdr:row>
      <xdr:rowOff>19050</xdr:rowOff>
    </xdr:to>
    <xdr:sp macro="" textlink="">
      <xdr:nvSpPr>
        <xdr:cNvPr id="14" name="Rectangle: Rounded Corners 13">
          <a:extLst>
            <a:ext uri="{FF2B5EF4-FFF2-40B4-BE49-F238E27FC236}">
              <a16:creationId xmlns:a16="http://schemas.microsoft.com/office/drawing/2014/main" id="{8CE1CB0E-AF44-F647-758E-17FC8C78394B}"/>
            </a:ext>
          </a:extLst>
        </xdr:cNvPr>
        <xdr:cNvSpPr/>
      </xdr:nvSpPr>
      <xdr:spPr>
        <a:xfrm>
          <a:off x="9639300" y="5905500"/>
          <a:ext cx="4514850" cy="1733550"/>
        </a:xfrm>
        <a:prstGeom prst="roundRect">
          <a:avLst/>
        </a:prstGeom>
        <a:solidFill>
          <a:schemeClr val="accent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9524</xdr:colOff>
      <xdr:row>32</xdr:row>
      <xdr:rowOff>0</xdr:rowOff>
    </xdr:from>
    <xdr:to>
      <xdr:col>19</xdr:col>
      <xdr:colOff>9525</xdr:colOff>
      <xdr:row>39</xdr:row>
      <xdr:rowOff>9525</xdr:rowOff>
    </xdr:to>
    <mc:AlternateContent xmlns:mc="http://schemas.openxmlformats.org/markup-compatibility/2006" xmlns:a14="http://schemas.microsoft.com/office/drawing/2010/main">
      <mc:Choice Requires="a14">
        <xdr:graphicFrame macro="">
          <xdr:nvGraphicFramePr>
            <xdr:cNvPr id="10" name="Customer Segment">
              <a:extLst>
                <a:ext uri="{FF2B5EF4-FFF2-40B4-BE49-F238E27FC236}">
                  <a16:creationId xmlns:a16="http://schemas.microsoft.com/office/drawing/2014/main" id="{80154204-23BB-68FA-45CF-81597BF41723}"/>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763124" y="6096000"/>
              <a:ext cx="1828801"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xdr:colOff>
      <xdr:row>32</xdr:row>
      <xdr:rowOff>9526</xdr:rowOff>
    </xdr:from>
    <xdr:to>
      <xdr:col>23</xdr:col>
      <xdr:colOff>1</xdr:colOff>
      <xdr:row>39</xdr:row>
      <xdr:rowOff>28576</xdr:rowOff>
    </xdr:to>
    <mc:AlternateContent xmlns:mc="http://schemas.openxmlformats.org/markup-compatibility/2006" xmlns:a14="http://schemas.microsoft.com/office/drawing/2010/main">
      <mc:Choice Requires="a14">
        <xdr:graphicFrame macro="">
          <xdr:nvGraphicFramePr>
            <xdr:cNvPr id="11" name="Business Unit">
              <a:extLst>
                <a:ext uri="{FF2B5EF4-FFF2-40B4-BE49-F238E27FC236}">
                  <a16:creationId xmlns:a16="http://schemas.microsoft.com/office/drawing/2014/main" id="{18B9057D-6EE2-0D02-9352-7B05AC192759}"/>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12192001" y="6105526"/>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Financial_Analyst_Project_Dataset.xlsx" TargetMode="External"/><Relationship Id="rId2" Type="http://schemas.openxmlformats.org/officeDocument/2006/relationships/externalLinkPath" Target="file:///C:\Users\DELL\Downloads\Financial_Analyst_Project_Dataset.xlsx" TargetMode="External"/><Relationship Id="rId1" Type="http://schemas.openxmlformats.org/officeDocument/2006/relationships/externalLinkPath" Target="/Users/DELL/Downloads/Financial_Analyst_Project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ransactions"/>
      <sheetName val="KPIs"/>
    </sheetNames>
    <sheetDataSet>
      <sheetData sheetId="0">
        <row r="2">
          <cell r="F2">
            <v>12296</v>
          </cell>
          <cell r="G2">
            <v>5625.46</v>
          </cell>
          <cell r="H2">
            <v>1457.13</v>
          </cell>
        </row>
        <row r="3">
          <cell r="F3">
            <v>11140</v>
          </cell>
          <cell r="G3">
            <v>5743.69</v>
          </cell>
          <cell r="H3">
            <v>1679.35</v>
          </cell>
        </row>
        <row r="4">
          <cell r="F4">
            <v>23231</v>
          </cell>
          <cell r="G4">
            <v>16095.11</v>
          </cell>
          <cell r="H4">
            <v>1879.62</v>
          </cell>
        </row>
        <row r="5">
          <cell r="F5">
            <v>27059</v>
          </cell>
          <cell r="G5">
            <v>13006.26</v>
          </cell>
          <cell r="H5">
            <v>3603.98</v>
          </cell>
        </row>
        <row r="6">
          <cell r="F6">
            <v>29807</v>
          </cell>
          <cell r="G6">
            <v>14117.79</v>
          </cell>
          <cell r="H6">
            <v>3607.99</v>
          </cell>
        </row>
        <row r="7">
          <cell r="F7">
            <v>19935</v>
          </cell>
          <cell r="G7">
            <v>13594.09</v>
          </cell>
          <cell r="H7">
            <v>4344.45</v>
          </cell>
        </row>
        <row r="8">
          <cell r="F8">
            <v>28909</v>
          </cell>
          <cell r="G8">
            <v>14419.7</v>
          </cell>
          <cell r="H8">
            <v>3750.59</v>
          </cell>
        </row>
        <row r="9">
          <cell r="F9">
            <v>29867</v>
          </cell>
          <cell r="G9">
            <v>15858.91</v>
          </cell>
          <cell r="H9">
            <v>6258.77</v>
          </cell>
        </row>
        <row r="10">
          <cell r="F10">
            <v>25673</v>
          </cell>
          <cell r="G10">
            <v>14642.58</v>
          </cell>
          <cell r="H10">
            <v>2291.7399999999998</v>
          </cell>
        </row>
        <row r="11">
          <cell r="F11">
            <v>35071</v>
          </cell>
          <cell r="G11">
            <v>17285.14</v>
          </cell>
          <cell r="H11">
            <v>3491.26</v>
          </cell>
        </row>
        <row r="12">
          <cell r="F12">
            <v>14065</v>
          </cell>
          <cell r="G12">
            <v>8479.2000000000007</v>
          </cell>
          <cell r="H12">
            <v>1304.21</v>
          </cell>
        </row>
        <row r="13">
          <cell r="F13">
            <v>30216</v>
          </cell>
          <cell r="G13">
            <v>17056.5</v>
          </cell>
          <cell r="H13">
            <v>6631.11</v>
          </cell>
        </row>
        <row r="14">
          <cell r="F14">
            <v>12310</v>
          </cell>
          <cell r="G14">
            <v>6623.4</v>
          </cell>
          <cell r="H14">
            <v>1257.3699999999999</v>
          </cell>
        </row>
        <row r="15">
          <cell r="F15">
            <v>44909</v>
          </cell>
          <cell r="G15">
            <v>22888.92</v>
          </cell>
          <cell r="H15">
            <v>5943.61</v>
          </cell>
        </row>
        <row r="16">
          <cell r="F16">
            <v>28788</v>
          </cell>
          <cell r="G16">
            <v>20543.59</v>
          </cell>
          <cell r="H16">
            <v>5654.92</v>
          </cell>
        </row>
        <row r="17">
          <cell r="F17">
            <v>9535</v>
          </cell>
          <cell r="G17">
            <v>7088.27</v>
          </cell>
          <cell r="H17">
            <v>1473.91</v>
          </cell>
        </row>
        <row r="18">
          <cell r="F18">
            <v>32730</v>
          </cell>
          <cell r="G18">
            <v>24197.58</v>
          </cell>
          <cell r="H18">
            <v>6874.87</v>
          </cell>
        </row>
        <row r="19">
          <cell r="F19">
            <v>34588</v>
          </cell>
          <cell r="G19">
            <v>16820.189999999999</v>
          </cell>
          <cell r="H19">
            <v>3855.1</v>
          </cell>
        </row>
        <row r="20">
          <cell r="F20">
            <v>46359</v>
          </cell>
          <cell r="G20">
            <v>21680.35</v>
          </cell>
          <cell r="H20">
            <v>4146.17</v>
          </cell>
        </row>
        <row r="21">
          <cell r="F21">
            <v>19040</v>
          </cell>
          <cell r="G21">
            <v>11648.1</v>
          </cell>
          <cell r="H21">
            <v>3451.37</v>
          </cell>
        </row>
        <row r="22">
          <cell r="F22">
            <v>11181</v>
          </cell>
          <cell r="G22">
            <v>5356.59</v>
          </cell>
          <cell r="H22">
            <v>1569.22</v>
          </cell>
        </row>
        <row r="23">
          <cell r="F23">
            <v>27236</v>
          </cell>
          <cell r="G23">
            <v>18797.68</v>
          </cell>
          <cell r="H23">
            <v>2595.5300000000002</v>
          </cell>
        </row>
        <row r="24">
          <cell r="F24">
            <v>35318</v>
          </cell>
          <cell r="G24">
            <v>18539.900000000001</v>
          </cell>
          <cell r="H24">
            <v>7390.55</v>
          </cell>
        </row>
        <row r="25">
          <cell r="F25">
            <v>15899</v>
          </cell>
          <cell r="G25">
            <v>9093.02</v>
          </cell>
          <cell r="H25">
            <v>2343.36</v>
          </cell>
        </row>
        <row r="26">
          <cell r="F26">
            <v>22380</v>
          </cell>
          <cell r="G26">
            <v>16291.64</v>
          </cell>
          <cell r="H26">
            <v>4250.37</v>
          </cell>
        </row>
        <row r="27">
          <cell r="F27">
            <v>8832</v>
          </cell>
          <cell r="G27">
            <v>5509</v>
          </cell>
          <cell r="H27">
            <v>1376.97</v>
          </cell>
        </row>
        <row r="28">
          <cell r="F28">
            <v>15317</v>
          </cell>
          <cell r="G28">
            <v>7154.02</v>
          </cell>
          <cell r="H28">
            <v>2314.34</v>
          </cell>
        </row>
        <row r="29">
          <cell r="F29">
            <v>42334</v>
          </cell>
          <cell r="G29">
            <v>22177.279999999999</v>
          </cell>
          <cell r="H29">
            <v>6910.29</v>
          </cell>
        </row>
        <row r="30">
          <cell r="F30">
            <v>25590</v>
          </cell>
          <cell r="G30">
            <v>13347.89</v>
          </cell>
          <cell r="H30">
            <v>3465.14</v>
          </cell>
        </row>
        <row r="31">
          <cell r="F31">
            <v>45708</v>
          </cell>
          <cell r="G31">
            <v>34259.81</v>
          </cell>
          <cell r="H31">
            <v>10030.780000000001</v>
          </cell>
        </row>
        <row r="32">
          <cell r="F32">
            <v>21009</v>
          </cell>
          <cell r="G32">
            <v>11783.07</v>
          </cell>
          <cell r="H32">
            <v>2144.69</v>
          </cell>
        </row>
        <row r="33">
          <cell r="F33">
            <v>13800</v>
          </cell>
          <cell r="G33">
            <v>7304.89</v>
          </cell>
          <cell r="H33">
            <v>2822.92</v>
          </cell>
        </row>
        <row r="34">
          <cell r="F34">
            <v>27471</v>
          </cell>
          <cell r="G34">
            <v>14039.86</v>
          </cell>
          <cell r="H34">
            <v>4636.92</v>
          </cell>
        </row>
        <row r="35">
          <cell r="F35">
            <v>32759</v>
          </cell>
          <cell r="G35">
            <v>22892.13</v>
          </cell>
          <cell r="H35">
            <v>2822.91</v>
          </cell>
        </row>
        <row r="36">
          <cell r="F36">
            <v>33028</v>
          </cell>
          <cell r="G36">
            <v>20420.29</v>
          </cell>
          <cell r="H36">
            <v>3159.54</v>
          </cell>
        </row>
        <row r="37">
          <cell r="F37">
            <v>7741</v>
          </cell>
          <cell r="G37">
            <v>4199.32</v>
          </cell>
          <cell r="H37">
            <v>1593.54</v>
          </cell>
        </row>
        <row r="38">
          <cell r="F38">
            <v>28178</v>
          </cell>
          <cell r="G38">
            <v>19274.73</v>
          </cell>
          <cell r="H38">
            <v>5742.08</v>
          </cell>
        </row>
        <row r="39">
          <cell r="F39">
            <v>6624</v>
          </cell>
          <cell r="G39">
            <v>3337.23</v>
          </cell>
          <cell r="H39">
            <v>1387.25</v>
          </cell>
        </row>
        <row r="40">
          <cell r="F40">
            <v>30070</v>
          </cell>
          <cell r="G40">
            <v>21399.32</v>
          </cell>
          <cell r="H40">
            <v>6020.11</v>
          </cell>
        </row>
        <row r="41">
          <cell r="F41">
            <v>6550</v>
          </cell>
          <cell r="G41">
            <v>4244.47</v>
          </cell>
          <cell r="H41">
            <v>889.39</v>
          </cell>
        </row>
        <row r="42">
          <cell r="F42">
            <v>26702</v>
          </cell>
          <cell r="G42">
            <v>19539.75</v>
          </cell>
          <cell r="H42">
            <v>2567.34</v>
          </cell>
        </row>
        <row r="43">
          <cell r="F43">
            <v>27654</v>
          </cell>
          <cell r="G43">
            <v>18488.46</v>
          </cell>
          <cell r="H43">
            <v>3426.74</v>
          </cell>
        </row>
        <row r="44">
          <cell r="F44">
            <v>33577</v>
          </cell>
          <cell r="G44">
            <v>15126.69</v>
          </cell>
          <cell r="H44">
            <v>7037.09</v>
          </cell>
        </row>
        <row r="45">
          <cell r="F45">
            <v>45839</v>
          </cell>
          <cell r="G45">
            <v>24944.42</v>
          </cell>
          <cell r="H45">
            <v>9109.2199999999993</v>
          </cell>
        </row>
        <row r="46">
          <cell r="F46">
            <v>24376</v>
          </cell>
          <cell r="G46">
            <v>15023.51</v>
          </cell>
          <cell r="H46">
            <v>2604.7600000000002</v>
          </cell>
        </row>
        <row r="47">
          <cell r="F47">
            <v>24914</v>
          </cell>
          <cell r="G47">
            <v>13355.75</v>
          </cell>
          <cell r="H47">
            <v>3492.55</v>
          </cell>
        </row>
        <row r="48">
          <cell r="F48">
            <v>19005</v>
          </cell>
          <cell r="G48">
            <v>11466.71</v>
          </cell>
          <cell r="H48">
            <v>3632.29</v>
          </cell>
        </row>
        <row r="49">
          <cell r="F49">
            <v>49092</v>
          </cell>
          <cell r="G49">
            <v>26663.13</v>
          </cell>
          <cell r="H49">
            <v>9470.77</v>
          </cell>
        </row>
        <row r="50">
          <cell r="F50">
            <v>34846</v>
          </cell>
          <cell r="G50">
            <v>20013.18</v>
          </cell>
          <cell r="H50">
            <v>5859.95</v>
          </cell>
        </row>
        <row r="51">
          <cell r="F51">
            <v>5363</v>
          </cell>
          <cell r="G51">
            <v>3849.55</v>
          </cell>
          <cell r="H51">
            <v>1075.08</v>
          </cell>
        </row>
        <row r="52">
          <cell r="F52">
            <v>35444</v>
          </cell>
          <cell r="G52">
            <v>16483.78</v>
          </cell>
          <cell r="H52">
            <v>4072.08</v>
          </cell>
        </row>
        <row r="53">
          <cell r="F53">
            <v>41629</v>
          </cell>
          <cell r="G53">
            <v>26169.48</v>
          </cell>
          <cell r="H53">
            <v>8867.2099999999991</v>
          </cell>
        </row>
        <row r="54">
          <cell r="F54">
            <v>34495</v>
          </cell>
          <cell r="G54">
            <v>18204.990000000002</v>
          </cell>
          <cell r="H54">
            <v>3953.59</v>
          </cell>
        </row>
        <row r="55">
          <cell r="F55">
            <v>23725</v>
          </cell>
          <cell r="G55">
            <v>12345.26</v>
          </cell>
          <cell r="H55">
            <v>3013.52</v>
          </cell>
        </row>
        <row r="56">
          <cell r="F56">
            <v>15014</v>
          </cell>
          <cell r="G56">
            <v>9938.15</v>
          </cell>
          <cell r="H56">
            <v>1336.13</v>
          </cell>
        </row>
        <row r="57">
          <cell r="F57">
            <v>30524</v>
          </cell>
          <cell r="G57">
            <v>22021.59</v>
          </cell>
          <cell r="H57">
            <v>4937.8999999999996</v>
          </cell>
        </row>
        <row r="58">
          <cell r="F58">
            <v>30558</v>
          </cell>
          <cell r="G58">
            <v>21575</v>
          </cell>
          <cell r="H58">
            <v>6523.53</v>
          </cell>
        </row>
        <row r="59">
          <cell r="F59">
            <v>36827</v>
          </cell>
          <cell r="G59">
            <v>16892.82</v>
          </cell>
          <cell r="H59">
            <v>4679.17</v>
          </cell>
        </row>
        <row r="60">
          <cell r="F60">
            <v>6767</v>
          </cell>
          <cell r="G60">
            <v>4886.3100000000004</v>
          </cell>
          <cell r="H60">
            <v>1102.1099999999999</v>
          </cell>
        </row>
        <row r="61">
          <cell r="F61">
            <v>8295</v>
          </cell>
          <cell r="G61">
            <v>4380.1499999999996</v>
          </cell>
          <cell r="H61">
            <v>1043.75</v>
          </cell>
        </row>
        <row r="62">
          <cell r="F62">
            <v>10367</v>
          </cell>
          <cell r="G62">
            <v>6127.85</v>
          </cell>
          <cell r="H62">
            <v>1916.48</v>
          </cell>
        </row>
        <row r="63">
          <cell r="F63">
            <v>18065</v>
          </cell>
          <cell r="G63">
            <v>12677.45</v>
          </cell>
          <cell r="H63">
            <v>3016.62</v>
          </cell>
        </row>
        <row r="64">
          <cell r="F64">
            <v>21793</v>
          </cell>
          <cell r="G64">
            <v>14820.75</v>
          </cell>
          <cell r="H64">
            <v>2255.37</v>
          </cell>
        </row>
        <row r="65">
          <cell r="F65">
            <v>25444</v>
          </cell>
          <cell r="G65">
            <v>15844.97</v>
          </cell>
          <cell r="H65">
            <v>5270.05</v>
          </cell>
        </row>
        <row r="66">
          <cell r="F66">
            <v>24764</v>
          </cell>
          <cell r="G66">
            <v>17460.8</v>
          </cell>
          <cell r="H66">
            <v>4062.72</v>
          </cell>
        </row>
        <row r="67">
          <cell r="F67">
            <v>9519</v>
          </cell>
          <cell r="G67">
            <v>5728.42</v>
          </cell>
          <cell r="H67">
            <v>1216.27</v>
          </cell>
        </row>
        <row r="68">
          <cell r="F68">
            <v>35129</v>
          </cell>
          <cell r="G68">
            <v>23262.16</v>
          </cell>
          <cell r="H68">
            <v>4952.07</v>
          </cell>
        </row>
        <row r="69">
          <cell r="F69">
            <v>22589</v>
          </cell>
          <cell r="G69">
            <v>12349.21</v>
          </cell>
          <cell r="H69">
            <v>2583.4899999999998</v>
          </cell>
        </row>
        <row r="70">
          <cell r="F70">
            <v>44998</v>
          </cell>
          <cell r="G70">
            <v>29269.24</v>
          </cell>
          <cell r="H70">
            <v>5719.04</v>
          </cell>
        </row>
        <row r="71">
          <cell r="F71">
            <v>27304</v>
          </cell>
          <cell r="G71">
            <v>14577.54</v>
          </cell>
          <cell r="H71">
            <v>4463.16</v>
          </cell>
        </row>
        <row r="72">
          <cell r="F72">
            <v>37019</v>
          </cell>
          <cell r="G72">
            <v>22824.17</v>
          </cell>
          <cell r="H72">
            <v>4207.04</v>
          </cell>
        </row>
        <row r="73">
          <cell r="F73">
            <v>31502</v>
          </cell>
          <cell r="G73">
            <v>20713.7</v>
          </cell>
          <cell r="H73">
            <v>3870.61</v>
          </cell>
        </row>
        <row r="74">
          <cell r="F74">
            <v>26678</v>
          </cell>
          <cell r="G74">
            <v>14820.78</v>
          </cell>
          <cell r="H74">
            <v>3828.94</v>
          </cell>
        </row>
        <row r="75">
          <cell r="F75">
            <v>40118</v>
          </cell>
          <cell r="G75">
            <v>29497.29</v>
          </cell>
          <cell r="H75">
            <v>7085.76</v>
          </cell>
        </row>
        <row r="76">
          <cell r="F76">
            <v>24414</v>
          </cell>
          <cell r="G76">
            <v>12652.43</v>
          </cell>
          <cell r="H76">
            <v>2566.44</v>
          </cell>
        </row>
        <row r="77">
          <cell r="F77">
            <v>24145</v>
          </cell>
          <cell r="G77">
            <v>15916.99</v>
          </cell>
          <cell r="H77">
            <v>2358.46</v>
          </cell>
        </row>
        <row r="78">
          <cell r="F78">
            <v>33866</v>
          </cell>
          <cell r="G78">
            <v>18701.2</v>
          </cell>
          <cell r="H78">
            <v>7286.94</v>
          </cell>
        </row>
        <row r="79">
          <cell r="F79">
            <v>42815</v>
          </cell>
          <cell r="G79">
            <v>27351.67</v>
          </cell>
          <cell r="H79">
            <v>3746.54</v>
          </cell>
        </row>
        <row r="80">
          <cell r="F80">
            <v>32274</v>
          </cell>
          <cell r="G80">
            <v>20393.79</v>
          </cell>
          <cell r="H80">
            <v>6154.77</v>
          </cell>
        </row>
        <row r="81">
          <cell r="F81">
            <v>33103</v>
          </cell>
          <cell r="G81">
            <v>17929.05</v>
          </cell>
          <cell r="H81">
            <v>5526.34</v>
          </cell>
        </row>
        <row r="82">
          <cell r="F82">
            <v>15292</v>
          </cell>
          <cell r="G82">
            <v>7981.81</v>
          </cell>
          <cell r="H82">
            <v>2405.11</v>
          </cell>
        </row>
        <row r="83">
          <cell r="F83">
            <v>20170</v>
          </cell>
          <cell r="G83">
            <v>10819.82</v>
          </cell>
          <cell r="H83">
            <v>2411.94</v>
          </cell>
        </row>
        <row r="84">
          <cell r="F84">
            <v>48331</v>
          </cell>
          <cell r="G84">
            <v>33405.019999999997</v>
          </cell>
          <cell r="H84">
            <v>5204.99</v>
          </cell>
        </row>
        <row r="85">
          <cell r="F85">
            <v>8908</v>
          </cell>
          <cell r="G85">
            <v>4452.01</v>
          </cell>
          <cell r="H85">
            <v>1096.27</v>
          </cell>
        </row>
        <row r="86">
          <cell r="F86">
            <v>24928</v>
          </cell>
          <cell r="G86">
            <v>16450.490000000002</v>
          </cell>
          <cell r="H86">
            <v>5284.1</v>
          </cell>
        </row>
        <row r="87">
          <cell r="F87">
            <v>33313</v>
          </cell>
          <cell r="G87">
            <v>22331.71</v>
          </cell>
          <cell r="H87">
            <v>5480.65</v>
          </cell>
        </row>
        <row r="88">
          <cell r="F88">
            <v>16481</v>
          </cell>
          <cell r="G88">
            <v>9742.75</v>
          </cell>
          <cell r="H88">
            <v>2821.73</v>
          </cell>
        </row>
        <row r="89">
          <cell r="F89">
            <v>27803</v>
          </cell>
          <cell r="G89">
            <v>15917.34</v>
          </cell>
          <cell r="H89">
            <v>3473.93</v>
          </cell>
        </row>
        <row r="90">
          <cell r="F90">
            <v>31244</v>
          </cell>
          <cell r="G90">
            <v>21685.52</v>
          </cell>
          <cell r="H90">
            <v>4905.7299999999996</v>
          </cell>
        </row>
        <row r="91">
          <cell r="F91">
            <v>38724</v>
          </cell>
          <cell r="G91">
            <v>27009.14</v>
          </cell>
          <cell r="H91">
            <v>3104.16</v>
          </cell>
        </row>
        <row r="92">
          <cell r="F92">
            <v>28709</v>
          </cell>
          <cell r="G92">
            <v>18281.61</v>
          </cell>
          <cell r="H92">
            <v>4300.29</v>
          </cell>
        </row>
        <row r="93">
          <cell r="F93">
            <v>36766</v>
          </cell>
          <cell r="G93">
            <v>17884.009999999998</v>
          </cell>
          <cell r="H93">
            <v>7950.3</v>
          </cell>
        </row>
        <row r="94">
          <cell r="F94">
            <v>11108</v>
          </cell>
          <cell r="G94">
            <v>5747.39</v>
          </cell>
          <cell r="H94">
            <v>2197.13</v>
          </cell>
        </row>
        <row r="95">
          <cell r="F95">
            <v>38349</v>
          </cell>
          <cell r="G95">
            <v>25372.6</v>
          </cell>
          <cell r="H95">
            <v>5298.63</v>
          </cell>
        </row>
        <row r="96">
          <cell r="F96">
            <v>44280</v>
          </cell>
          <cell r="G96">
            <v>26677.47</v>
          </cell>
          <cell r="H96">
            <v>8993.52</v>
          </cell>
        </row>
        <row r="97">
          <cell r="F97">
            <v>5168</v>
          </cell>
          <cell r="G97">
            <v>2764.11</v>
          </cell>
          <cell r="H97">
            <v>629.45000000000005</v>
          </cell>
        </row>
        <row r="98">
          <cell r="F98">
            <v>27618</v>
          </cell>
          <cell r="G98">
            <v>15182.5</v>
          </cell>
          <cell r="H98">
            <v>5159.1000000000004</v>
          </cell>
        </row>
        <row r="99">
          <cell r="F99">
            <v>20306</v>
          </cell>
          <cell r="G99">
            <v>14352.36</v>
          </cell>
          <cell r="H99">
            <v>2792.25</v>
          </cell>
        </row>
        <row r="100">
          <cell r="F100">
            <v>13273</v>
          </cell>
          <cell r="G100">
            <v>7972.92</v>
          </cell>
          <cell r="H100">
            <v>2158.5300000000002</v>
          </cell>
        </row>
        <row r="101">
          <cell r="F101">
            <v>31868</v>
          </cell>
          <cell r="G101">
            <v>22667.07</v>
          </cell>
          <cell r="H101">
            <v>6876.92</v>
          </cell>
        </row>
        <row r="102">
          <cell r="F102">
            <v>26532</v>
          </cell>
          <cell r="G102">
            <v>18723.7</v>
          </cell>
          <cell r="H102">
            <v>5314.57</v>
          </cell>
        </row>
        <row r="103">
          <cell r="F103">
            <v>49852</v>
          </cell>
          <cell r="G103">
            <v>36206.449999999997</v>
          </cell>
          <cell r="H103">
            <v>10949.47</v>
          </cell>
        </row>
        <row r="104">
          <cell r="F104">
            <v>24625</v>
          </cell>
          <cell r="G104">
            <v>17755.3</v>
          </cell>
          <cell r="H104">
            <v>2128.5500000000002</v>
          </cell>
        </row>
        <row r="105">
          <cell r="F105">
            <v>21003</v>
          </cell>
          <cell r="G105">
            <v>12798.18</v>
          </cell>
          <cell r="H105">
            <v>3344.31</v>
          </cell>
        </row>
        <row r="106">
          <cell r="F106">
            <v>45613</v>
          </cell>
          <cell r="G106">
            <v>29873.8</v>
          </cell>
          <cell r="H106">
            <v>6827.05</v>
          </cell>
        </row>
        <row r="107">
          <cell r="F107">
            <v>48702</v>
          </cell>
          <cell r="G107">
            <v>22053.200000000001</v>
          </cell>
          <cell r="H107">
            <v>9382.3700000000008</v>
          </cell>
        </row>
        <row r="108">
          <cell r="F108">
            <v>24605</v>
          </cell>
          <cell r="G108">
            <v>15788.58</v>
          </cell>
          <cell r="H108">
            <v>3430.02</v>
          </cell>
        </row>
        <row r="109">
          <cell r="F109">
            <v>20545</v>
          </cell>
          <cell r="G109">
            <v>11595.79</v>
          </cell>
          <cell r="H109">
            <v>2676.07</v>
          </cell>
        </row>
        <row r="110">
          <cell r="F110">
            <v>49944</v>
          </cell>
          <cell r="G110">
            <v>34136.400000000001</v>
          </cell>
          <cell r="H110">
            <v>10803.11</v>
          </cell>
        </row>
        <row r="111">
          <cell r="F111">
            <v>19352</v>
          </cell>
          <cell r="G111">
            <v>12404.35</v>
          </cell>
          <cell r="H111">
            <v>3230.33</v>
          </cell>
        </row>
        <row r="112">
          <cell r="F112">
            <v>42982</v>
          </cell>
          <cell r="G112">
            <v>24046.639999999999</v>
          </cell>
          <cell r="H112">
            <v>4229.33</v>
          </cell>
        </row>
        <row r="113">
          <cell r="F113">
            <v>40350</v>
          </cell>
          <cell r="G113">
            <v>28767.06</v>
          </cell>
          <cell r="H113">
            <v>5294.73</v>
          </cell>
        </row>
        <row r="114">
          <cell r="F114">
            <v>12547</v>
          </cell>
          <cell r="G114">
            <v>7409</v>
          </cell>
          <cell r="H114">
            <v>1136.03</v>
          </cell>
        </row>
        <row r="115">
          <cell r="F115">
            <v>22331</v>
          </cell>
          <cell r="G115">
            <v>13643.61</v>
          </cell>
          <cell r="H115">
            <v>3208.3</v>
          </cell>
        </row>
        <row r="116">
          <cell r="F116">
            <v>35898</v>
          </cell>
          <cell r="G116">
            <v>16423.599999999999</v>
          </cell>
          <cell r="H116">
            <v>7315.76</v>
          </cell>
        </row>
        <row r="117">
          <cell r="F117">
            <v>47548</v>
          </cell>
          <cell r="G117">
            <v>27220.7</v>
          </cell>
          <cell r="H117">
            <v>4734.3</v>
          </cell>
        </row>
        <row r="118">
          <cell r="F118">
            <v>40228</v>
          </cell>
          <cell r="G118">
            <v>19739.849999999999</v>
          </cell>
          <cell r="H118">
            <v>5773.13</v>
          </cell>
        </row>
        <row r="119">
          <cell r="F119">
            <v>37069</v>
          </cell>
          <cell r="G119">
            <v>23527.53</v>
          </cell>
          <cell r="H119">
            <v>7838.89</v>
          </cell>
        </row>
        <row r="120">
          <cell r="F120">
            <v>28768</v>
          </cell>
          <cell r="G120">
            <v>13803.07</v>
          </cell>
          <cell r="H120">
            <v>5063.03</v>
          </cell>
        </row>
        <row r="121">
          <cell r="F121">
            <v>34800</v>
          </cell>
          <cell r="G121">
            <v>16617.07</v>
          </cell>
          <cell r="H121">
            <v>3817.38</v>
          </cell>
        </row>
        <row r="122">
          <cell r="F122">
            <v>42000</v>
          </cell>
          <cell r="G122">
            <v>21485.59</v>
          </cell>
          <cell r="H122">
            <v>8239.33</v>
          </cell>
        </row>
        <row r="123">
          <cell r="F123">
            <v>5185</v>
          </cell>
          <cell r="G123">
            <v>2764.55</v>
          </cell>
          <cell r="H123">
            <v>1129.1099999999999</v>
          </cell>
        </row>
        <row r="124">
          <cell r="F124">
            <v>13637</v>
          </cell>
          <cell r="G124">
            <v>6197.45</v>
          </cell>
          <cell r="H124">
            <v>2599.1799999999998</v>
          </cell>
        </row>
        <row r="125">
          <cell r="F125">
            <v>13307</v>
          </cell>
          <cell r="G125">
            <v>8949.16</v>
          </cell>
          <cell r="H125">
            <v>2044.65</v>
          </cell>
        </row>
        <row r="126">
          <cell r="F126">
            <v>12146</v>
          </cell>
          <cell r="G126">
            <v>7112.72</v>
          </cell>
          <cell r="H126">
            <v>1348.41</v>
          </cell>
        </row>
        <row r="127">
          <cell r="F127">
            <v>31320</v>
          </cell>
          <cell r="G127">
            <v>18099.27</v>
          </cell>
          <cell r="H127">
            <v>2978.99</v>
          </cell>
        </row>
        <row r="128">
          <cell r="F128">
            <v>9304</v>
          </cell>
          <cell r="G128">
            <v>4539.03</v>
          </cell>
          <cell r="H128">
            <v>1557.53</v>
          </cell>
        </row>
        <row r="129">
          <cell r="F129">
            <v>44677</v>
          </cell>
          <cell r="G129">
            <v>25870.65</v>
          </cell>
          <cell r="H129">
            <v>8534.7999999999993</v>
          </cell>
        </row>
        <row r="130">
          <cell r="F130">
            <v>27212</v>
          </cell>
          <cell r="G130">
            <v>19000.12</v>
          </cell>
          <cell r="H130">
            <v>3695.99</v>
          </cell>
        </row>
        <row r="131">
          <cell r="F131">
            <v>29530</v>
          </cell>
          <cell r="G131">
            <v>21736.38</v>
          </cell>
          <cell r="H131">
            <v>5201.8599999999997</v>
          </cell>
        </row>
        <row r="132">
          <cell r="F132">
            <v>29421</v>
          </cell>
          <cell r="G132">
            <v>20404.37</v>
          </cell>
          <cell r="H132">
            <v>4645.34</v>
          </cell>
        </row>
        <row r="133">
          <cell r="F133">
            <v>32717</v>
          </cell>
          <cell r="G133">
            <v>23243.06</v>
          </cell>
          <cell r="H133">
            <v>5920.09</v>
          </cell>
        </row>
        <row r="134">
          <cell r="F134">
            <v>18942</v>
          </cell>
          <cell r="G134">
            <v>9403.17</v>
          </cell>
          <cell r="H134">
            <v>2794.07</v>
          </cell>
        </row>
        <row r="135">
          <cell r="F135">
            <v>19821</v>
          </cell>
          <cell r="G135">
            <v>13719.43</v>
          </cell>
          <cell r="H135">
            <v>3930.93</v>
          </cell>
        </row>
        <row r="136">
          <cell r="F136">
            <v>25249</v>
          </cell>
          <cell r="G136">
            <v>18342.419999999998</v>
          </cell>
          <cell r="H136">
            <v>3260.74</v>
          </cell>
        </row>
        <row r="137">
          <cell r="F137">
            <v>7009</v>
          </cell>
          <cell r="G137">
            <v>3346.99</v>
          </cell>
          <cell r="H137">
            <v>1081.26</v>
          </cell>
        </row>
        <row r="138">
          <cell r="F138">
            <v>26258</v>
          </cell>
          <cell r="G138">
            <v>17935.54</v>
          </cell>
          <cell r="H138">
            <v>4187.18</v>
          </cell>
        </row>
        <row r="139">
          <cell r="F139">
            <v>22832</v>
          </cell>
          <cell r="G139">
            <v>13309.55</v>
          </cell>
          <cell r="H139">
            <v>3181.91</v>
          </cell>
        </row>
        <row r="140">
          <cell r="F140">
            <v>27621</v>
          </cell>
          <cell r="G140">
            <v>15991.84</v>
          </cell>
          <cell r="H140">
            <v>3304.98</v>
          </cell>
        </row>
        <row r="141">
          <cell r="F141">
            <v>44277</v>
          </cell>
          <cell r="G141">
            <v>20652.32</v>
          </cell>
          <cell r="H141">
            <v>4809.33</v>
          </cell>
        </row>
        <row r="142">
          <cell r="F142">
            <v>5506</v>
          </cell>
          <cell r="G142">
            <v>3299.28</v>
          </cell>
          <cell r="H142">
            <v>772.45</v>
          </cell>
        </row>
        <row r="143">
          <cell r="F143">
            <v>33588</v>
          </cell>
          <cell r="G143">
            <v>15303.45</v>
          </cell>
          <cell r="H143">
            <v>7018.64</v>
          </cell>
        </row>
        <row r="144">
          <cell r="F144">
            <v>31544</v>
          </cell>
          <cell r="G144">
            <v>14392.17</v>
          </cell>
          <cell r="H144">
            <v>3957.75</v>
          </cell>
        </row>
        <row r="145">
          <cell r="F145">
            <v>20945</v>
          </cell>
          <cell r="G145">
            <v>12162.82</v>
          </cell>
          <cell r="H145">
            <v>2849.84</v>
          </cell>
        </row>
        <row r="146">
          <cell r="F146">
            <v>10005</v>
          </cell>
          <cell r="G146">
            <v>6034.47</v>
          </cell>
          <cell r="H146">
            <v>960.12</v>
          </cell>
        </row>
        <row r="147">
          <cell r="F147">
            <v>14597</v>
          </cell>
          <cell r="G147">
            <v>7689.56</v>
          </cell>
          <cell r="H147">
            <v>1522.32</v>
          </cell>
        </row>
        <row r="148">
          <cell r="F148">
            <v>34419</v>
          </cell>
          <cell r="G148">
            <v>22521.73</v>
          </cell>
          <cell r="H148">
            <v>7003.81</v>
          </cell>
        </row>
        <row r="149">
          <cell r="F149">
            <v>35731</v>
          </cell>
          <cell r="G149">
            <v>20819.11</v>
          </cell>
          <cell r="H149">
            <v>4373.29</v>
          </cell>
        </row>
        <row r="150">
          <cell r="F150">
            <v>34616</v>
          </cell>
          <cell r="G150">
            <v>15967.74</v>
          </cell>
          <cell r="H150">
            <v>4556.2700000000004</v>
          </cell>
        </row>
        <row r="151">
          <cell r="F151">
            <v>7688</v>
          </cell>
          <cell r="G151">
            <v>4496.87</v>
          </cell>
          <cell r="H151">
            <v>1486.66</v>
          </cell>
        </row>
        <row r="152">
          <cell r="F152">
            <v>11783</v>
          </cell>
          <cell r="G152">
            <v>8169.04</v>
          </cell>
          <cell r="H152">
            <v>2323.9899999999998</v>
          </cell>
        </row>
        <row r="153">
          <cell r="F153">
            <v>33797</v>
          </cell>
          <cell r="G153">
            <v>20522.23</v>
          </cell>
          <cell r="H153">
            <v>5589.1</v>
          </cell>
        </row>
        <row r="154">
          <cell r="F154">
            <v>44183</v>
          </cell>
          <cell r="G154">
            <v>20576.45</v>
          </cell>
          <cell r="H154">
            <v>7437.06</v>
          </cell>
        </row>
        <row r="155">
          <cell r="F155">
            <v>48028</v>
          </cell>
          <cell r="G155">
            <v>35508.21</v>
          </cell>
          <cell r="H155">
            <v>7894.75</v>
          </cell>
        </row>
        <row r="156">
          <cell r="F156">
            <v>48393</v>
          </cell>
          <cell r="G156">
            <v>27467.26</v>
          </cell>
          <cell r="H156">
            <v>7902.86</v>
          </cell>
        </row>
        <row r="157">
          <cell r="F157">
            <v>49919</v>
          </cell>
          <cell r="G157">
            <v>36128.1</v>
          </cell>
          <cell r="H157">
            <v>4646.63</v>
          </cell>
        </row>
        <row r="158">
          <cell r="F158">
            <v>19037</v>
          </cell>
          <cell r="G158">
            <v>10518.32</v>
          </cell>
          <cell r="H158">
            <v>3564.9</v>
          </cell>
        </row>
        <row r="159">
          <cell r="F159">
            <v>38271</v>
          </cell>
          <cell r="G159">
            <v>26072.59</v>
          </cell>
          <cell r="H159">
            <v>7536.2</v>
          </cell>
        </row>
        <row r="160">
          <cell r="F160">
            <v>15109</v>
          </cell>
          <cell r="G160">
            <v>7534.47</v>
          </cell>
          <cell r="H160">
            <v>2967.23</v>
          </cell>
        </row>
        <row r="161">
          <cell r="F161">
            <v>49326</v>
          </cell>
          <cell r="G161">
            <v>32844.980000000003</v>
          </cell>
          <cell r="H161">
            <v>10641.71</v>
          </cell>
        </row>
        <row r="162">
          <cell r="F162">
            <v>17715</v>
          </cell>
          <cell r="G162">
            <v>9926.64</v>
          </cell>
          <cell r="H162">
            <v>3766.18</v>
          </cell>
        </row>
        <row r="163">
          <cell r="F163">
            <v>44627</v>
          </cell>
          <cell r="G163">
            <v>21935.040000000001</v>
          </cell>
          <cell r="H163">
            <v>5132.13</v>
          </cell>
        </row>
        <row r="164">
          <cell r="F164">
            <v>15506</v>
          </cell>
          <cell r="G164">
            <v>8246.67</v>
          </cell>
          <cell r="H164">
            <v>3205.75</v>
          </cell>
        </row>
        <row r="165">
          <cell r="F165">
            <v>32190</v>
          </cell>
          <cell r="G165">
            <v>14999.8</v>
          </cell>
          <cell r="H165">
            <v>4837.55</v>
          </cell>
        </row>
        <row r="166">
          <cell r="F166">
            <v>11493</v>
          </cell>
          <cell r="G166">
            <v>8065.25</v>
          </cell>
          <cell r="H166">
            <v>1965.24</v>
          </cell>
        </row>
        <row r="167">
          <cell r="F167">
            <v>14095</v>
          </cell>
          <cell r="G167">
            <v>9551.51</v>
          </cell>
          <cell r="H167">
            <v>2053.3000000000002</v>
          </cell>
        </row>
        <row r="168">
          <cell r="F168">
            <v>40966</v>
          </cell>
          <cell r="G168">
            <v>29989.89</v>
          </cell>
          <cell r="H168">
            <v>6769.35</v>
          </cell>
        </row>
        <row r="169">
          <cell r="F169">
            <v>20626</v>
          </cell>
          <cell r="G169">
            <v>11879.5</v>
          </cell>
          <cell r="H169">
            <v>3942.57</v>
          </cell>
        </row>
        <row r="170">
          <cell r="F170">
            <v>42686</v>
          </cell>
          <cell r="G170">
            <v>22306.91</v>
          </cell>
          <cell r="H170">
            <v>4272.8999999999996</v>
          </cell>
        </row>
        <row r="171">
          <cell r="F171">
            <v>48792</v>
          </cell>
          <cell r="G171">
            <v>23209.58</v>
          </cell>
          <cell r="H171">
            <v>10561.11</v>
          </cell>
        </row>
        <row r="172">
          <cell r="F172">
            <v>30354</v>
          </cell>
          <cell r="G172">
            <v>22592.84</v>
          </cell>
          <cell r="H172">
            <v>3506.22</v>
          </cell>
        </row>
        <row r="173">
          <cell r="F173">
            <v>46173</v>
          </cell>
          <cell r="G173">
            <v>22213.79</v>
          </cell>
          <cell r="H173">
            <v>7455.39</v>
          </cell>
        </row>
        <row r="174">
          <cell r="F174">
            <v>47126</v>
          </cell>
          <cell r="G174">
            <v>23682.080000000002</v>
          </cell>
          <cell r="H174">
            <v>8910.58</v>
          </cell>
        </row>
        <row r="175">
          <cell r="F175">
            <v>7423</v>
          </cell>
          <cell r="G175">
            <v>3993.82</v>
          </cell>
          <cell r="H175">
            <v>639.36</v>
          </cell>
        </row>
        <row r="176">
          <cell r="F176">
            <v>21601</v>
          </cell>
          <cell r="G176">
            <v>9957.76</v>
          </cell>
          <cell r="H176">
            <v>3684.4</v>
          </cell>
        </row>
        <row r="177">
          <cell r="F177">
            <v>33636</v>
          </cell>
          <cell r="G177">
            <v>24111.83</v>
          </cell>
          <cell r="H177">
            <v>6191.15</v>
          </cell>
        </row>
        <row r="178">
          <cell r="F178">
            <v>29074</v>
          </cell>
          <cell r="G178">
            <v>21145.32</v>
          </cell>
          <cell r="H178">
            <v>4439.5600000000004</v>
          </cell>
        </row>
        <row r="179">
          <cell r="F179">
            <v>40748</v>
          </cell>
          <cell r="G179">
            <v>21927.72</v>
          </cell>
          <cell r="H179">
            <v>3845.13</v>
          </cell>
        </row>
        <row r="180">
          <cell r="F180">
            <v>34091</v>
          </cell>
          <cell r="G180">
            <v>18936.330000000002</v>
          </cell>
          <cell r="H180">
            <v>2929.43</v>
          </cell>
        </row>
        <row r="181">
          <cell r="F181">
            <v>46780</v>
          </cell>
          <cell r="G181">
            <v>26751.75</v>
          </cell>
          <cell r="H181">
            <v>7102.7</v>
          </cell>
        </row>
        <row r="182">
          <cell r="F182">
            <v>9406</v>
          </cell>
          <cell r="G182">
            <v>4898.63</v>
          </cell>
          <cell r="H182">
            <v>1602.06</v>
          </cell>
        </row>
        <row r="183">
          <cell r="F183">
            <v>34094</v>
          </cell>
          <cell r="G183">
            <v>23147.279999999999</v>
          </cell>
          <cell r="H183">
            <v>5466.94</v>
          </cell>
        </row>
        <row r="184">
          <cell r="F184">
            <v>6698</v>
          </cell>
          <cell r="G184">
            <v>4492.37</v>
          </cell>
          <cell r="H184">
            <v>1003.8</v>
          </cell>
        </row>
        <row r="185">
          <cell r="F185">
            <v>19062</v>
          </cell>
          <cell r="G185">
            <v>14275.71</v>
          </cell>
          <cell r="H185">
            <v>2287.0700000000002</v>
          </cell>
        </row>
        <row r="186">
          <cell r="F186">
            <v>16315</v>
          </cell>
          <cell r="G186">
            <v>11740.33</v>
          </cell>
          <cell r="H186">
            <v>2321.88</v>
          </cell>
        </row>
        <row r="187">
          <cell r="F187">
            <v>46792</v>
          </cell>
          <cell r="G187">
            <v>23500.22</v>
          </cell>
          <cell r="H187">
            <v>6111.45</v>
          </cell>
        </row>
        <row r="188">
          <cell r="F188">
            <v>28651</v>
          </cell>
          <cell r="G188">
            <v>17654.93</v>
          </cell>
          <cell r="H188">
            <v>3771.83</v>
          </cell>
        </row>
        <row r="189">
          <cell r="F189">
            <v>36369</v>
          </cell>
          <cell r="G189">
            <v>22101.759999999998</v>
          </cell>
          <cell r="H189">
            <v>6825.84</v>
          </cell>
        </row>
        <row r="190">
          <cell r="F190">
            <v>34489</v>
          </cell>
          <cell r="G190">
            <v>20339.89</v>
          </cell>
          <cell r="H190">
            <v>5257.17</v>
          </cell>
        </row>
        <row r="191">
          <cell r="F191">
            <v>13137</v>
          </cell>
          <cell r="G191">
            <v>7953.54</v>
          </cell>
          <cell r="H191">
            <v>1610.3</v>
          </cell>
        </row>
        <row r="192">
          <cell r="F192">
            <v>17864</v>
          </cell>
          <cell r="G192">
            <v>11442.2</v>
          </cell>
          <cell r="H192">
            <v>2806.75</v>
          </cell>
        </row>
        <row r="193">
          <cell r="F193">
            <v>45925</v>
          </cell>
          <cell r="G193">
            <v>30594.77</v>
          </cell>
          <cell r="H193">
            <v>7564.74</v>
          </cell>
        </row>
        <row r="194">
          <cell r="F194">
            <v>42799</v>
          </cell>
          <cell r="G194">
            <v>22657.65</v>
          </cell>
          <cell r="H194">
            <v>4687.05</v>
          </cell>
        </row>
        <row r="195">
          <cell r="F195">
            <v>36650</v>
          </cell>
          <cell r="G195">
            <v>19184.93</v>
          </cell>
          <cell r="H195">
            <v>7074.51</v>
          </cell>
        </row>
        <row r="196">
          <cell r="F196">
            <v>32238</v>
          </cell>
          <cell r="G196">
            <v>19190.490000000002</v>
          </cell>
          <cell r="H196">
            <v>3499.86</v>
          </cell>
        </row>
        <row r="197">
          <cell r="F197">
            <v>29283</v>
          </cell>
          <cell r="G197">
            <v>17701.400000000001</v>
          </cell>
          <cell r="H197">
            <v>2777.95</v>
          </cell>
        </row>
        <row r="198">
          <cell r="F198">
            <v>11344</v>
          </cell>
          <cell r="G198">
            <v>5277.02</v>
          </cell>
          <cell r="H198">
            <v>2408.94</v>
          </cell>
        </row>
        <row r="199">
          <cell r="F199">
            <v>25494</v>
          </cell>
          <cell r="G199">
            <v>12924.19</v>
          </cell>
          <cell r="H199">
            <v>2608.2399999999998</v>
          </cell>
        </row>
        <row r="200">
          <cell r="F200">
            <v>30771</v>
          </cell>
          <cell r="G200">
            <v>18512.86</v>
          </cell>
          <cell r="H200">
            <v>6626.11</v>
          </cell>
        </row>
        <row r="201">
          <cell r="F201">
            <v>44158</v>
          </cell>
          <cell r="G201">
            <v>31559.8</v>
          </cell>
          <cell r="H201">
            <v>7577.35</v>
          </cell>
        </row>
        <row r="202">
          <cell r="F202">
            <v>28971</v>
          </cell>
          <cell r="G202">
            <v>19675.86</v>
          </cell>
          <cell r="H202">
            <v>3801.9</v>
          </cell>
        </row>
        <row r="203">
          <cell r="F203">
            <v>38046</v>
          </cell>
          <cell r="G203">
            <v>22260.95</v>
          </cell>
          <cell r="H203">
            <v>5972.46</v>
          </cell>
        </row>
        <row r="204">
          <cell r="F204">
            <v>27222</v>
          </cell>
          <cell r="G204">
            <v>16805.490000000002</v>
          </cell>
          <cell r="H204">
            <v>3571.12</v>
          </cell>
        </row>
        <row r="205">
          <cell r="F205">
            <v>26826</v>
          </cell>
          <cell r="G205">
            <v>18541.86</v>
          </cell>
          <cell r="H205">
            <v>4096.51</v>
          </cell>
        </row>
        <row r="206">
          <cell r="F206">
            <v>45402</v>
          </cell>
          <cell r="G206">
            <v>30500.87</v>
          </cell>
          <cell r="H206">
            <v>5534.18</v>
          </cell>
        </row>
        <row r="207">
          <cell r="F207">
            <v>26708</v>
          </cell>
          <cell r="G207">
            <v>17417.41</v>
          </cell>
          <cell r="H207">
            <v>5800.6</v>
          </cell>
        </row>
        <row r="208">
          <cell r="F208">
            <v>42855</v>
          </cell>
          <cell r="G208">
            <v>22210.16</v>
          </cell>
          <cell r="H208">
            <v>3736.52</v>
          </cell>
        </row>
        <row r="209">
          <cell r="F209">
            <v>12202</v>
          </cell>
          <cell r="G209">
            <v>6189.29</v>
          </cell>
          <cell r="H209">
            <v>1729.58</v>
          </cell>
        </row>
        <row r="210">
          <cell r="F210">
            <v>35907</v>
          </cell>
          <cell r="G210">
            <v>25560.23</v>
          </cell>
          <cell r="H210">
            <v>6571.6</v>
          </cell>
        </row>
        <row r="211">
          <cell r="F211">
            <v>25562</v>
          </cell>
          <cell r="G211">
            <v>18839.34</v>
          </cell>
          <cell r="H211">
            <v>3689.95</v>
          </cell>
        </row>
        <row r="212">
          <cell r="F212">
            <v>23284</v>
          </cell>
          <cell r="G212">
            <v>14376.15</v>
          </cell>
          <cell r="H212">
            <v>2595.73</v>
          </cell>
        </row>
        <row r="213">
          <cell r="F213">
            <v>41732</v>
          </cell>
          <cell r="G213">
            <v>30468.959999999999</v>
          </cell>
          <cell r="H213">
            <v>7985.7</v>
          </cell>
        </row>
        <row r="214">
          <cell r="F214">
            <v>24035</v>
          </cell>
          <cell r="G214">
            <v>11119.07</v>
          </cell>
          <cell r="H214">
            <v>5137.34</v>
          </cell>
        </row>
        <row r="215">
          <cell r="F215">
            <v>40296</v>
          </cell>
          <cell r="G215">
            <v>21410.87</v>
          </cell>
          <cell r="H215">
            <v>6394.27</v>
          </cell>
        </row>
        <row r="216">
          <cell r="F216">
            <v>39802</v>
          </cell>
          <cell r="G216">
            <v>20605.55</v>
          </cell>
          <cell r="H216">
            <v>4481.59</v>
          </cell>
        </row>
        <row r="217">
          <cell r="F217">
            <v>5339</v>
          </cell>
          <cell r="G217">
            <v>3947.42</v>
          </cell>
          <cell r="H217">
            <v>1158.07</v>
          </cell>
        </row>
        <row r="218">
          <cell r="F218">
            <v>23704</v>
          </cell>
          <cell r="G218">
            <v>15259.91</v>
          </cell>
          <cell r="H218">
            <v>4909.3599999999997</v>
          </cell>
        </row>
        <row r="219">
          <cell r="F219">
            <v>7381</v>
          </cell>
          <cell r="G219">
            <v>5529.49</v>
          </cell>
          <cell r="H219">
            <v>1000.71</v>
          </cell>
        </row>
        <row r="220">
          <cell r="F220">
            <v>44503</v>
          </cell>
          <cell r="G220">
            <v>21458.91</v>
          </cell>
          <cell r="H220">
            <v>9684.7000000000007</v>
          </cell>
        </row>
        <row r="221">
          <cell r="F221">
            <v>12382</v>
          </cell>
          <cell r="G221">
            <v>6800.26</v>
          </cell>
          <cell r="H221">
            <v>2257.94</v>
          </cell>
        </row>
        <row r="222">
          <cell r="F222">
            <v>49197</v>
          </cell>
          <cell r="G222">
            <v>33315.46</v>
          </cell>
          <cell r="H222">
            <v>5144.5</v>
          </cell>
        </row>
        <row r="223">
          <cell r="F223">
            <v>11251</v>
          </cell>
          <cell r="G223">
            <v>5686.64</v>
          </cell>
          <cell r="H223">
            <v>1121.56</v>
          </cell>
        </row>
        <row r="224">
          <cell r="F224">
            <v>22497</v>
          </cell>
          <cell r="G224">
            <v>16562.53</v>
          </cell>
          <cell r="H224">
            <v>2750.76</v>
          </cell>
        </row>
        <row r="225">
          <cell r="F225">
            <v>9071</v>
          </cell>
          <cell r="G225">
            <v>5899.2</v>
          </cell>
          <cell r="H225">
            <v>1316.7</v>
          </cell>
        </row>
        <row r="226">
          <cell r="F226">
            <v>19473</v>
          </cell>
          <cell r="G226">
            <v>10042.98</v>
          </cell>
          <cell r="H226">
            <v>1921.98</v>
          </cell>
        </row>
        <row r="227">
          <cell r="F227">
            <v>19313</v>
          </cell>
          <cell r="G227">
            <v>13104.99</v>
          </cell>
          <cell r="H227">
            <v>3384.56</v>
          </cell>
        </row>
        <row r="228">
          <cell r="F228">
            <v>9047</v>
          </cell>
          <cell r="G228">
            <v>6320.53</v>
          </cell>
          <cell r="H228">
            <v>1867.34</v>
          </cell>
        </row>
        <row r="229">
          <cell r="F229">
            <v>12617</v>
          </cell>
          <cell r="G229">
            <v>8252.64</v>
          </cell>
          <cell r="H229">
            <v>2275.71</v>
          </cell>
        </row>
        <row r="230">
          <cell r="F230">
            <v>32225</v>
          </cell>
          <cell r="G230">
            <v>18917.349999999999</v>
          </cell>
          <cell r="H230">
            <v>2838.48</v>
          </cell>
        </row>
        <row r="231">
          <cell r="F231">
            <v>42900</v>
          </cell>
          <cell r="G231">
            <v>20244.89</v>
          </cell>
          <cell r="H231">
            <v>5976.73</v>
          </cell>
        </row>
        <row r="232">
          <cell r="F232">
            <v>31795</v>
          </cell>
          <cell r="G232">
            <v>16024.5</v>
          </cell>
          <cell r="H232">
            <v>3146.43</v>
          </cell>
        </row>
        <row r="233">
          <cell r="F233">
            <v>10259</v>
          </cell>
          <cell r="G233">
            <v>6717.79</v>
          </cell>
          <cell r="H233">
            <v>1771.23</v>
          </cell>
        </row>
        <row r="234">
          <cell r="F234">
            <v>39658</v>
          </cell>
          <cell r="G234">
            <v>19361.2</v>
          </cell>
          <cell r="H234">
            <v>8606.64</v>
          </cell>
        </row>
        <row r="235">
          <cell r="F235">
            <v>32795</v>
          </cell>
          <cell r="G235">
            <v>19991.18</v>
          </cell>
          <cell r="H235">
            <v>6403.89</v>
          </cell>
        </row>
        <row r="236">
          <cell r="F236">
            <v>7111</v>
          </cell>
          <cell r="G236">
            <v>4926.8100000000004</v>
          </cell>
          <cell r="H236">
            <v>986.25</v>
          </cell>
        </row>
        <row r="237">
          <cell r="F237">
            <v>7200</v>
          </cell>
          <cell r="G237">
            <v>4204.3100000000004</v>
          </cell>
          <cell r="H237">
            <v>1253.4000000000001</v>
          </cell>
        </row>
        <row r="238">
          <cell r="F238">
            <v>40373</v>
          </cell>
          <cell r="G238">
            <v>20799.39</v>
          </cell>
          <cell r="H238">
            <v>8111.83</v>
          </cell>
        </row>
        <row r="239">
          <cell r="F239">
            <v>49075</v>
          </cell>
          <cell r="G239">
            <v>34132.39</v>
          </cell>
          <cell r="H239">
            <v>5553.65</v>
          </cell>
        </row>
        <row r="240">
          <cell r="F240">
            <v>41485</v>
          </cell>
          <cell r="G240">
            <v>30473.06</v>
          </cell>
          <cell r="H240">
            <v>8428.09</v>
          </cell>
        </row>
        <row r="241">
          <cell r="F241">
            <v>48997</v>
          </cell>
          <cell r="G241">
            <v>27651.279999999999</v>
          </cell>
          <cell r="H241">
            <v>7517.36</v>
          </cell>
        </row>
        <row r="242">
          <cell r="F242">
            <v>40253</v>
          </cell>
          <cell r="G242">
            <v>23832.02</v>
          </cell>
          <cell r="H242">
            <v>8006.63</v>
          </cell>
        </row>
        <row r="243">
          <cell r="F243">
            <v>39733</v>
          </cell>
          <cell r="G243">
            <v>19478.22</v>
          </cell>
          <cell r="H243">
            <v>4529.57</v>
          </cell>
        </row>
        <row r="244">
          <cell r="F244">
            <v>17483</v>
          </cell>
          <cell r="G244">
            <v>8137.65</v>
          </cell>
          <cell r="H244">
            <v>2321.8000000000002</v>
          </cell>
        </row>
        <row r="245">
          <cell r="F245">
            <v>41624</v>
          </cell>
          <cell r="G245">
            <v>21440.73</v>
          </cell>
          <cell r="H245">
            <v>4547.1899999999996</v>
          </cell>
        </row>
        <row r="246">
          <cell r="F246">
            <v>36386</v>
          </cell>
          <cell r="G246">
            <v>26355.56</v>
          </cell>
          <cell r="H246">
            <v>6454.43</v>
          </cell>
        </row>
        <row r="247">
          <cell r="F247">
            <v>35556</v>
          </cell>
          <cell r="G247">
            <v>21692.54</v>
          </cell>
          <cell r="H247">
            <v>4632.82</v>
          </cell>
        </row>
        <row r="248">
          <cell r="F248">
            <v>25986</v>
          </cell>
          <cell r="G248">
            <v>18821.64</v>
          </cell>
          <cell r="H248">
            <v>3427.52</v>
          </cell>
        </row>
        <row r="249">
          <cell r="F249">
            <v>43275</v>
          </cell>
          <cell r="G249">
            <v>26992.47</v>
          </cell>
          <cell r="H249">
            <v>5991.9</v>
          </cell>
        </row>
        <row r="250">
          <cell r="F250">
            <v>37722</v>
          </cell>
          <cell r="G250">
            <v>23206.3</v>
          </cell>
          <cell r="H250">
            <v>8000.27</v>
          </cell>
        </row>
        <row r="251">
          <cell r="F251">
            <v>16092</v>
          </cell>
          <cell r="G251">
            <v>7917.06</v>
          </cell>
          <cell r="H251">
            <v>2518.66</v>
          </cell>
        </row>
        <row r="252">
          <cell r="F252">
            <v>5418</v>
          </cell>
          <cell r="G252">
            <v>3108.4</v>
          </cell>
          <cell r="H252">
            <v>1072.53</v>
          </cell>
        </row>
        <row r="253">
          <cell r="F253">
            <v>29458</v>
          </cell>
          <cell r="G253">
            <v>13790.32</v>
          </cell>
          <cell r="H253">
            <v>4986.71</v>
          </cell>
        </row>
        <row r="254">
          <cell r="F254">
            <v>41152</v>
          </cell>
          <cell r="G254">
            <v>23596.62</v>
          </cell>
          <cell r="H254">
            <v>3388.52</v>
          </cell>
        </row>
        <row r="255">
          <cell r="F255">
            <v>11312</v>
          </cell>
          <cell r="G255">
            <v>6869.95</v>
          </cell>
          <cell r="H255">
            <v>1286.58</v>
          </cell>
        </row>
        <row r="256">
          <cell r="F256">
            <v>29448</v>
          </cell>
          <cell r="G256">
            <v>21726.42</v>
          </cell>
          <cell r="H256">
            <v>4248.16</v>
          </cell>
        </row>
        <row r="257">
          <cell r="F257">
            <v>29855</v>
          </cell>
          <cell r="G257">
            <v>16812.87</v>
          </cell>
          <cell r="H257">
            <v>4377.96</v>
          </cell>
        </row>
        <row r="258">
          <cell r="F258">
            <v>26710</v>
          </cell>
          <cell r="G258">
            <v>16553.71</v>
          </cell>
          <cell r="H258">
            <v>5345.06</v>
          </cell>
        </row>
        <row r="259">
          <cell r="F259">
            <v>36162</v>
          </cell>
          <cell r="G259">
            <v>19213.900000000001</v>
          </cell>
          <cell r="H259">
            <v>7571.68</v>
          </cell>
        </row>
        <row r="260">
          <cell r="F260">
            <v>43471</v>
          </cell>
          <cell r="G260">
            <v>21442.400000000001</v>
          </cell>
          <cell r="H260">
            <v>8472.35</v>
          </cell>
        </row>
        <row r="261">
          <cell r="F261">
            <v>42138</v>
          </cell>
          <cell r="G261">
            <v>29513.25</v>
          </cell>
          <cell r="H261">
            <v>5666.8</v>
          </cell>
        </row>
        <row r="262">
          <cell r="F262">
            <v>37819</v>
          </cell>
          <cell r="G262">
            <v>25476.28</v>
          </cell>
          <cell r="H262">
            <v>4856.7299999999996</v>
          </cell>
        </row>
        <row r="263">
          <cell r="F263">
            <v>44033</v>
          </cell>
          <cell r="G263">
            <v>25055.26</v>
          </cell>
          <cell r="H263">
            <v>8291.31</v>
          </cell>
        </row>
        <row r="264">
          <cell r="F264">
            <v>29603</v>
          </cell>
          <cell r="G264">
            <v>17156.55</v>
          </cell>
          <cell r="H264">
            <v>5185.18</v>
          </cell>
        </row>
        <row r="265">
          <cell r="F265">
            <v>10376</v>
          </cell>
          <cell r="G265">
            <v>5503.34</v>
          </cell>
          <cell r="H265">
            <v>1382.08</v>
          </cell>
        </row>
        <row r="266">
          <cell r="F266">
            <v>5340</v>
          </cell>
          <cell r="G266">
            <v>3913.62</v>
          </cell>
          <cell r="H266">
            <v>759.68</v>
          </cell>
        </row>
        <row r="267">
          <cell r="F267">
            <v>34415</v>
          </cell>
          <cell r="G267">
            <v>21237.34</v>
          </cell>
          <cell r="H267">
            <v>5222.1899999999996</v>
          </cell>
        </row>
        <row r="268">
          <cell r="F268">
            <v>26261</v>
          </cell>
          <cell r="G268">
            <v>18622.080000000002</v>
          </cell>
          <cell r="H268">
            <v>2146.25</v>
          </cell>
        </row>
        <row r="269">
          <cell r="F269">
            <v>16108</v>
          </cell>
          <cell r="G269">
            <v>7919.53</v>
          </cell>
          <cell r="H269">
            <v>1967.73</v>
          </cell>
        </row>
        <row r="270">
          <cell r="F270">
            <v>24644</v>
          </cell>
          <cell r="G270">
            <v>14669.82</v>
          </cell>
          <cell r="H270">
            <v>2236.91</v>
          </cell>
        </row>
        <row r="271">
          <cell r="F271">
            <v>24966</v>
          </cell>
          <cell r="G271">
            <v>11285.39</v>
          </cell>
          <cell r="H271">
            <v>3380.32</v>
          </cell>
        </row>
        <row r="272">
          <cell r="F272">
            <v>47666</v>
          </cell>
          <cell r="G272">
            <v>35380.93</v>
          </cell>
          <cell r="H272">
            <v>4721.67</v>
          </cell>
        </row>
        <row r="273">
          <cell r="F273">
            <v>25915</v>
          </cell>
          <cell r="G273">
            <v>13927.61</v>
          </cell>
          <cell r="H273">
            <v>4594.58</v>
          </cell>
        </row>
        <row r="274">
          <cell r="F274">
            <v>28921</v>
          </cell>
          <cell r="G274">
            <v>14002.57</v>
          </cell>
          <cell r="H274">
            <v>4596.68</v>
          </cell>
        </row>
        <row r="275">
          <cell r="F275">
            <v>33734</v>
          </cell>
          <cell r="G275">
            <v>23253.040000000001</v>
          </cell>
          <cell r="H275">
            <v>6624.66</v>
          </cell>
        </row>
        <row r="276">
          <cell r="F276">
            <v>48166</v>
          </cell>
          <cell r="G276">
            <v>23902.04</v>
          </cell>
          <cell r="H276">
            <v>6706.53</v>
          </cell>
        </row>
        <row r="277">
          <cell r="F277">
            <v>32413</v>
          </cell>
          <cell r="G277">
            <v>19872.2</v>
          </cell>
          <cell r="H277">
            <v>6181.19</v>
          </cell>
        </row>
        <row r="278">
          <cell r="F278">
            <v>28265</v>
          </cell>
          <cell r="G278">
            <v>14129.72</v>
          </cell>
          <cell r="H278">
            <v>4685.63</v>
          </cell>
        </row>
        <row r="279">
          <cell r="F279">
            <v>21956</v>
          </cell>
          <cell r="G279">
            <v>11342.48</v>
          </cell>
          <cell r="H279">
            <v>4052.19</v>
          </cell>
        </row>
        <row r="280">
          <cell r="F280">
            <v>49535</v>
          </cell>
          <cell r="G280">
            <v>31037.49</v>
          </cell>
          <cell r="H280">
            <v>7433.48</v>
          </cell>
        </row>
        <row r="281">
          <cell r="F281">
            <v>12606</v>
          </cell>
          <cell r="G281">
            <v>8816.58</v>
          </cell>
          <cell r="H281">
            <v>2297.08</v>
          </cell>
        </row>
        <row r="282">
          <cell r="F282">
            <v>27826</v>
          </cell>
          <cell r="G282">
            <v>16496.61</v>
          </cell>
          <cell r="H282">
            <v>3933.02</v>
          </cell>
        </row>
        <row r="283">
          <cell r="F283">
            <v>12542</v>
          </cell>
          <cell r="G283">
            <v>5728.88</v>
          </cell>
          <cell r="H283">
            <v>1605.76</v>
          </cell>
        </row>
        <row r="284">
          <cell r="F284">
            <v>32942</v>
          </cell>
          <cell r="G284">
            <v>24296</v>
          </cell>
          <cell r="H284">
            <v>3704.65</v>
          </cell>
        </row>
        <row r="285">
          <cell r="F285">
            <v>17931</v>
          </cell>
          <cell r="G285">
            <v>10487.35</v>
          </cell>
          <cell r="H285">
            <v>2512.8000000000002</v>
          </cell>
        </row>
        <row r="286">
          <cell r="F286">
            <v>40185</v>
          </cell>
          <cell r="G286">
            <v>20337.14</v>
          </cell>
          <cell r="H286">
            <v>5048.76</v>
          </cell>
        </row>
        <row r="287">
          <cell r="F287">
            <v>45062</v>
          </cell>
          <cell r="G287">
            <v>25584.55</v>
          </cell>
          <cell r="H287">
            <v>4325.6099999999997</v>
          </cell>
        </row>
        <row r="288">
          <cell r="F288">
            <v>25524</v>
          </cell>
          <cell r="G288">
            <v>12388.29</v>
          </cell>
          <cell r="H288">
            <v>3133.15</v>
          </cell>
        </row>
        <row r="289">
          <cell r="F289">
            <v>42670</v>
          </cell>
          <cell r="G289">
            <v>24113.37</v>
          </cell>
          <cell r="H289">
            <v>4523.26</v>
          </cell>
        </row>
        <row r="290">
          <cell r="F290">
            <v>17261</v>
          </cell>
          <cell r="G290">
            <v>9396.44</v>
          </cell>
          <cell r="H290">
            <v>2470.7399999999998</v>
          </cell>
        </row>
        <row r="291">
          <cell r="F291">
            <v>41803</v>
          </cell>
          <cell r="G291">
            <v>25150</v>
          </cell>
          <cell r="H291">
            <v>6241.01</v>
          </cell>
        </row>
        <row r="292">
          <cell r="F292">
            <v>42053</v>
          </cell>
          <cell r="G292">
            <v>19313.189999999999</v>
          </cell>
          <cell r="H292">
            <v>7844.9</v>
          </cell>
        </row>
        <row r="293">
          <cell r="F293">
            <v>42070</v>
          </cell>
          <cell r="G293">
            <v>28302.82</v>
          </cell>
          <cell r="H293">
            <v>7876.71</v>
          </cell>
        </row>
        <row r="294">
          <cell r="F294">
            <v>40523</v>
          </cell>
          <cell r="G294">
            <v>28235.75</v>
          </cell>
          <cell r="H294">
            <v>3477.91</v>
          </cell>
        </row>
        <row r="295">
          <cell r="F295">
            <v>21222</v>
          </cell>
          <cell r="G295">
            <v>11445.29</v>
          </cell>
          <cell r="H295">
            <v>4666.8</v>
          </cell>
        </row>
        <row r="296">
          <cell r="F296">
            <v>18754</v>
          </cell>
          <cell r="G296">
            <v>13000.48</v>
          </cell>
          <cell r="H296">
            <v>3043.95</v>
          </cell>
        </row>
        <row r="297">
          <cell r="F297">
            <v>8890</v>
          </cell>
          <cell r="G297">
            <v>5520.89</v>
          </cell>
          <cell r="H297">
            <v>1373.68</v>
          </cell>
        </row>
        <row r="298">
          <cell r="F298">
            <v>22520</v>
          </cell>
          <cell r="G298">
            <v>16568.400000000001</v>
          </cell>
          <cell r="H298">
            <v>3423.45</v>
          </cell>
        </row>
        <row r="299">
          <cell r="F299">
            <v>13315</v>
          </cell>
          <cell r="G299">
            <v>8793.6</v>
          </cell>
          <cell r="H299">
            <v>1312.55</v>
          </cell>
        </row>
        <row r="300">
          <cell r="F300">
            <v>46445</v>
          </cell>
          <cell r="G300">
            <v>24644.42</v>
          </cell>
          <cell r="H300">
            <v>6409.02</v>
          </cell>
        </row>
        <row r="301">
          <cell r="F301">
            <v>34798</v>
          </cell>
          <cell r="G301">
            <v>25579.18</v>
          </cell>
          <cell r="H301">
            <v>4378.3</v>
          </cell>
        </row>
        <row r="302">
          <cell r="F302">
            <v>19275</v>
          </cell>
          <cell r="G302">
            <v>14271.95</v>
          </cell>
          <cell r="H302">
            <v>3767.85</v>
          </cell>
        </row>
        <row r="303">
          <cell r="F303">
            <v>13558</v>
          </cell>
          <cell r="G303">
            <v>8403.83</v>
          </cell>
          <cell r="H303">
            <v>2005.87</v>
          </cell>
        </row>
        <row r="304">
          <cell r="F304">
            <v>15353</v>
          </cell>
          <cell r="G304">
            <v>8941.3700000000008</v>
          </cell>
          <cell r="H304">
            <v>1229.69</v>
          </cell>
        </row>
        <row r="305">
          <cell r="F305">
            <v>11117</v>
          </cell>
          <cell r="G305">
            <v>7185.77</v>
          </cell>
          <cell r="H305">
            <v>1279.06</v>
          </cell>
        </row>
        <row r="306">
          <cell r="F306">
            <v>20344</v>
          </cell>
          <cell r="G306">
            <v>11774.48</v>
          </cell>
          <cell r="H306">
            <v>1887.27</v>
          </cell>
        </row>
        <row r="307">
          <cell r="F307">
            <v>19823</v>
          </cell>
          <cell r="G307">
            <v>12009.43</v>
          </cell>
          <cell r="H307">
            <v>2821</v>
          </cell>
        </row>
        <row r="308">
          <cell r="F308">
            <v>20004</v>
          </cell>
          <cell r="G308">
            <v>11300.68</v>
          </cell>
          <cell r="H308">
            <v>3646.87</v>
          </cell>
        </row>
        <row r="309">
          <cell r="F309">
            <v>13725</v>
          </cell>
          <cell r="G309">
            <v>8817.94</v>
          </cell>
          <cell r="H309">
            <v>2399.12</v>
          </cell>
        </row>
        <row r="310">
          <cell r="F310">
            <v>46161</v>
          </cell>
          <cell r="G310">
            <v>31134.7</v>
          </cell>
          <cell r="H310">
            <v>9637.73</v>
          </cell>
        </row>
        <row r="311">
          <cell r="F311">
            <v>43638</v>
          </cell>
          <cell r="G311">
            <v>29193.94</v>
          </cell>
          <cell r="H311">
            <v>5638.68</v>
          </cell>
        </row>
        <row r="312">
          <cell r="F312">
            <v>21263</v>
          </cell>
          <cell r="G312">
            <v>13098.41</v>
          </cell>
          <cell r="H312">
            <v>3487.16</v>
          </cell>
        </row>
        <row r="313">
          <cell r="F313">
            <v>38392</v>
          </cell>
          <cell r="G313">
            <v>19449.16</v>
          </cell>
          <cell r="H313">
            <v>5176.97</v>
          </cell>
        </row>
        <row r="314">
          <cell r="F314">
            <v>37740</v>
          </cell>
          <cell r="G314">
            <v>24207.37</v>
          </cell>
          <cell r="H314">
            <v>3394.4</v>
          </cell>
        </row>
        <row r="315">
          <cell r="F315">
            <v>32581</v>
          </cell>
          <cell r="G315">
            <v>18233.099999999999</v>
          </cell>
          <cell r="H315">
            <v>5721.61</v>
          </cell>
        </row>
        <row r="316">
          <cell r="F316">
            <v>19138</v>
          </cell>
          <cell r="G316">
            <v>8840.76</v>
          </cell>
          <cell r="H316">
            <v>1693.06</v>
          </cell>
        </row>
        <row r="317">
          <cell r="F317">
            <v>10401</v>
          </cell>
          <cell r="G317">
            <v>6679.12</v>
          </cell>
          <cell r="H317">
            <v>1614.98</v>
          </cell>
        </row>
        <row r="318">
          <cell r="F318">
            <v>15182</v>
          </cell>
          <cell r="G318">
            <v>9274.94</v>
          </cell>
          <cell r="H318">
            <v>2045.05</v>
          </cell>
        </row>
        <row r="319">
          <cell r="F319">
            <v>10650</v>
          </cell>
          <cell r="G319">
            <v>7746.69</v>
          </cell>
          <cell r="H319">
            <v>1024.94</v>
          </cell>
        </row>
        <row r="320">
          <cell r="F320">
            <v>13992</v>
          </cell>
          <cell r="G320">
            <v>9241.01</v>
          </cell>
          <cell r="H320">
            <v>1440.29</v>
          </cell>
        </row>
        <row r="321">
          <cell r="F321">
            <v>12736</v>
          </cell>
          <cell r="G321">
            <v>8678.68</v>
          </cell>
          <cell r="H321">
            <v>1071.22</v>
          </cell>
        </row>
        <row r="322">
          <cell r="F322">
            <v>46125</v>
          </cell>
          <cell r="G322">
            <v>21822.71</v>
          </cell>
          <cell r="H322">
            <v>6629.44</v>
          </cell>
        </row>
        <row r="323">
          <cell r="F323">
            <v>11743</v>
          </cell>
          <cell r="G323">
            <v>8434.77</v>
          </cell>
          <cell r="H323">
            <v>2047.71</v>
          </cell>
        </row>
        <row r="324">
          <cell r="F324">
            <v>35917</v>
          </cell>
          <cell r="G324">
            <v>20084.53</v>
          </cell>
          <cell r="H324">
            <v>7500.61</v>
          </cell>
        </row>
        <row r="325">
          <cell r="F325">
            <v>25967</v>
          </cell>
          <cell r="G325">
            <v>13798.28</v>
          </cell>
          <cell r="H325">
            <v>2360.5100000000002</v>
          </cell>
        </row>
        <row r="326">
          <cell r="F326">
            <v>31275</v>
          </cell>
          <cell r="G326">
            <v>14720.45</v>
          </cell>
          <cell r="H326">
            <v>4538.41</v>
          </cell>
        </row>
        <row r="327">
          <cell r="F327">
            <v>18151</v>
          </cell>
          <cell r="G327">
            <v>9755.77</v>
          </cell>
          <cell r="H327">
            <v>3445.62</v>
          </cell>
        </row>
        <row r="328">
          <cell r="F328">
            <v>17807</v>
          </cell>
          <cell r="G328">
            <v>11926.04</v>
          </cell>
          <cell r="H328">
            <v>2787.12</v>
          </cell>
        </row>
        <row r="329">
          <cell r="F329">
            <v>40490</v>
          </cell>
          <cell r="G329">
            <v>22428.51</v>
          </cell>
          <cell r="H329">
            <v>7998.41</v>
          </cell>
        </row>
        <row r="330">
          <cell r="F330">
            <v>11812</v>
          </cell>
          <cell r="G330">
            <v>6042.53</v>
          </cell>
          <cell r="H330">
            <v>2570.7199999999998</v>
          </cell>
        </row>
        <row r="331">
          <cell r="F331">
            <v>20169</v>
          </cell>
          <cell r="G331">
            <v>14505.27</v>
          </cell>
          <cell r="H331">
            <v>3081.14</v>
          </cell>
        </row>
        <row r="332">
          <cell r="F332">
            <v>46760</v>
          </cell>
          <cell r="G332">
            <v>32544.44</v>
          </cell>
          <cell r="H332">
            <v>4230.67</v>
          </cell>
        </row>
        <row r="333">
          <cell r="F333">
            <v>25644</v>
          </cell>
          <cell r="G333">
            <v>18664.03</v>
          </cell>
          <cell r="H333">
            <v>3462.28</v>
          </cell>
        </row>
        <row r="334">
          <cell r="F334">
            <v>18284</v>
          </cell>
          <cell r="G334">
            <v>8974.4</v>
          </cell>
          <cell r="H334">
            <v>3434.11</v>
          </cell>
        </row>
        <row r="335">
          <cell r="F335">
            <v>31641</v>
          </cell>
          <cell r="G335">
            <v>15384.52</v>
          </cell>
          <cell r="H335">
            <v>4118.3999999999996</v>
          </cell>
        </row>
        <row r="336">
          <cell r="F336">
            <v>10925</v>
          </cell>
          <cell r="G336">
            <v>5432.83</v>
          </cell>
          <cell r="H336">
            <v>1923.32</v>
          </cell>
        </row>
        <row r="337">
          <cell r="F337">
            <v>21267</v>
          </cell>
          <cell r="G337">
            <v>15748.64</v>
          </cell>
          <cell r="H337">
            <v>2881.13</v>
          </cell>
        </row>
        <row r="338">
          <cell r="F338">
            <v>41434</v>
          </cell>
          <cell r="G338">
            <v>27944.06</v>
          </cell>
          <cell r="H338">
            <v>4764.0600000000004</v>
          </cell>
        </row>
        <row r="339">
          <cell r="F339">
            <v>13566</v>
          </cell>
          <cell r="G339">
            <v>6911.06</v>
          </cell>
          <cell r="H339">
            <v>1846.08</v>
          </cell>
        </row>
        <row r="340">
          <cell r="F340">
            <v>47335</v>
          </cell>
          <cell r="G340">
            <v>27597.7</v>
          </cell>
          <cell r="H340">
            <v>4640.29</v>
          </cell>
        </row>
        <row r="341">
          <cell r="F341">
            <v>42610</v>
          </cell>
          <cell r="G341">
            <v>24711.54</v>
          </cell>
          <cell r="H341">
            <v>7730.32</v>
          </cell>
        </row>
        <row r="342">
          <cell r="F342">
            <v>17265</v>
          </cell>
          <cell r="G342">
            <v>9193.52</v>
          </cell>
          <cell r="H342">
            <v>2459.25</v>
          </cell>
        </row>
        <row r="343">
          <cell r="F343">
            <v>36393</v>
          </cell>
          <cell r="G343">
            <v>17042.61</v>
          </cell>
          <cell r="H343">
            <v>4336.8999999999996</v>
          </cell>
        </row>
        <row r="344">
          <cell r="F344">
            <v>36436</v>
          </cell>
          <cell r="G344">
            <v>22348.22</v>
          </cell>
          <cell r="H344">
            <v>5387.25</v>
          </cell>
        </row>
        <row r="345">
          <cell r="F345">
            <v>25897</v>
          </cell>
          <cell r="G345">
            <v>16292.71</v>
          </cell>
          <cell r="H345">
            <v>2178</v>
          </cell>
        </row>
        <row r="346">
          <cell r="F346">
            <v>15461</v>
          </cell>
          <cell r="G346">
            <v>7421.9</v>
          </cell>
          <cell r="H346">
            <v>2658.69</v>
          </cell>
        </row>
        <row r="347">
          <cell r="F347">
            <v>16540</v>
          </cell>
          <cell r="G347">
            <v>8616.77</v>
          </cell>
          <cell r="H347">
            <v>2059.5700000000002</v>
          </cell>
        </row>
        <row r="348">
          <cell r="F348">
            <v>37258</v>
          </cell>
          <cell r="G348">
            <v>22825.64</v>
          </cell>
          <cell r="H348">
            <v>3896.37</v>
          </cell>
        </row>
        <row r="349">
          <cell r="F349">
            <v>36325</v>
          </cell>
          <cell r="G349">
            <v>16353.7</v>
          </cell>
          <cell r="H349">
            <v>7573.96</v>
          </cell>
        </row>
        <row r="350">
          <cell r="F350">
            <v>14680</v>
          </cell>
          <cell r="G350">
            <v>9189.43</v>
          </cell>
          <cell r="H350">
            <v>3059.48</v>
          </cell>
        </row>
        <row r="351">
          <cell r="F351">
            <v>30925</v>
          </cell>
          <cell r="G351">
            <v>19353.02</v>
          </cell>
          <cell r="H351">
            <v>3931.14</v>
          </cell>
        </row>
        <row r="352">
          <cell r="F352">
            <v>16416</v>
          </cell>
          <cell r="G352">
            <v>10869.93</v>
          </cell>
          <cell r="H352">
            <v>2604.84</v>
          </cell>
        </row>
        <row r="353">
          <cell r="F353">
            <v>24301</v>
          </cell>
          <cell r="G353">
            <v>11863.86</v>
          </cell>
          <cell r="H353">
            <v>4423.66</v>
          </cell>
        </row>
        <row r="354">
          <cell r="F354">
            <v>45067</v>
          </cell>
          <cell r="G354">
            <v>23266.68</v>
          </cell>
          <cell r="H354">
            <v>7173.63</v>
          </cell>
        </row>
        <row r="355">
          <cell r="F355">
            <v>25939</v>
          </cell>
          <cell r="G355">
            <v>12979</v>
          </cell>
          <cell r="H355">
            <v>5290.13</v>
          </cell>
        </row>
        <row r="356">
          <cell r="F356">
            <v>9442</v>
          </cell>
          <cell r="G356">
            <v>5241.67</v>
          </cell>
          <cell r="H356">
            <v>1795.71</v>
          </cell>
        </row>
        <row r="357">
          <cell r="F357">
            <v>15901</v>
          </cell>
          <cell r="G357">
            <v>11375.03</v>
          </cell>
          <cell r="H357">
            <v>2369.75</v>
          </cell>
        </row>
        <row r="358">
          <cell r="F358">
            <v>19783</v>
          </cell>
          <cell r="G358">
            <v>9867.7000000000007</v>
          </cell>
          <cell r="H358">
            <v>1786.79</v>
          </cell>
        </row>
        <row r="359">
          <cell r="F359">
            <v>9862</v>
          </cell>
          <cell r="G359">
            <v>5449.17</v>
          </cell>
          <cell r="H359">
            <v>2014.91</v>
          </cell>
        </row>
        <row r="360">
          <cell r="F360">
            <v>33267</v>
          </cell>
          <cell r="G360">
            <v>24375.82</v>
          </cell>
          <cell r="H360">
            <v>3429.81</v>
          </cell>
        </row>
        <row r="361">
          <cell r="F361">
            <v>17450</v>
          </cell>
          <cell r="G361">
            <v>9995.08</v>
          </cell>
          <cell r="H361">
            <v>2749.7</v>
          </cell>
        </row>
        <row r="362">
          <cell r="F362">
            <v>8252</v>
          </cell>
          <cell r="G362">
            <v>4686.07</v>
          </cell>
          <cell r="H362">
            <v>1295.17</v>
          </cell>
        </row>
        <row r="363">
          <cell r="F363">
            <v>24303</v>
          </cell>
          <cell r="G363">
            <v>16943.3</v>
          </cell>
          <cell r="H363">
            <v>4071.06</v>
          </cell>
        </row>
        <row r="364">
          <cell r="F364">
            <v>24124</v>
          </cell>
          <cell r="G364">
            <v>17926.96</v>
          </cell>
          <cell r="H364">
            <v>3529.34</v>
          </cell>
        </row>
        <row r="365">
          <cell r="F365">
            <v>10972</v>
          </cell>
          <cell r="G365">
            <v>7050.17</v>
          </cell>
          <cell r="H365">
            <v>1473.03</v>
          </cell>
        </row>
        <row r="366">
          <cell r="F366">
            <v>33818</v>
          </cell>
          <cell r="G366">
            <v>19936.3</v>
          </cell>
          <cell r="H366">
            <v>3776.59</v>
          </cell>
        </row>
        <row r="367">
          <cell r="F367">
            <v>27530</v>
          </cell>
          <cell r="G367">
            <v>19063.259999999998</v>
          </cell>
          <cell r="H367">
            <v>3797.99</v>
          </cell>
        </row>
        <row r="368">
          <cell r="F368">
            <v>40095</v>
          </cell>
          <cell r="G368">
            <v>26307.15</v>
          </cell>
          <cell r="H368">
            <v>8463.68</v>
          </cell>
        </row>
        <row r="369">
          <cell r="F369">
            <v>37905</v>
          </cell>
          <cell r="G369">
            <v>23552.880000000001</v>
          </cell>
          <cell r="H369">
            <v>5774.99</v>
          </cell>
        </row>
        <row r="370">
          <cell r="F370">
            <v>18886</v>
          </cell>
          <cell r="G370">
            <v>13079.28</v>
          </cell>
          <cell r="H370">
            <v>1844.52</v>
          </cell>
        </row>
        <row r="371">
          <cell r="F371">
            <v>25955</v>
          </cell>
          <cell r="G371">
            <v>18771.73</v>
          </cell>
          <cell r="H371">
            <v>5398.23</v>
          </cell>
        </row>
        <row r="372">
          <cell r="F372">
            <v>35025</v>
          </cell>
          <cell r="G372">
            <v>25398.33</v>
          </cell>
          <cell r="H372">
            <v>2862.63</v>
          </cell>
        </row>
        <row r="373">
          <cell r="F373">
            <v>42132</v>
          </cell>
          <cell r="G373">
            <v>26390.65</v>
          </cell>
          <cell r="H373">
            <v>7843.83</v>
          </cell>
        </row>
        <row r="374">
          <cell r="F374">
            <v>31928</v>
          </cell>
          <cell r="G374">
            <v>16897.61</v>
          </cell>
          <cell r="H374">
            <v>5481.09</v>
          </cell>
        </row>
        <row r="375">
          <cell r="F375">
            <v>14427</v>
          </cell>
          <cell r="G375">
            <v>9167.9699999999993</v>
          </cell>
          <cell r="H375">
            <v>2529.25</v>
          </cell>
        </row>
        <row r="376">
          <cell r="F376">
            <v>22601</v>
          </cell>
          <cell r="G376">
            <v>16252.59</v>
          </cell>
          <cell r="H376">
            <v>1872.1</v>
          </cell>
        </row>
        <row r="377">
          <cell r="F377">
            <v>11436</v>
          </cell>
          <cell r="G377">
            <v>8482.64</v>
          </cell>
          <cell r="H377">
            <v>1279.8499999999999</v>
          </cell>
        </row>
        <row r="378">
          <cell r="F378">
            <v>10851</v>
          </cell>
          <cell r="G378">
            <v>5494.74</v>
          </cell>
          <cell r="H378">
            <v>1189.21</v>
          </cell>
        </row>
        <row r="379">
          <cell r="F379">
            <v>9300</v>
          </cell>
          <cell r="G379">
            <v>5053.03</v>
          </cell>
          <cell r="H379">
            <v>1403.85</v>
          </cell>
        </row>
        <row r="380">
          <cell r="F380">
            <v>21350</v>
          </cell>
          <cell r="G380">
            <v>9819.32</v>
          </cell>
          <cell r="H380">
            <v>1859.12</v>
          </cell>
        </row>
        <row r="381">
          <cell r="F381">
            <v>46642</v>
          </cell>
          <cell r="G381">
            <v>33905.1</v>
          </cell>
          <cell r="H381">
            <v>8179.35</v>
          </cell>
        </row>
        <row r="382">
          <cell r="F382">
            <v>41132</v>
          </cell>
          <cell r="G382">
            <v>22825.3</v>
          </cell>
          <cell r="H382">
            <v>4232.1499999999996</v>
          </cell>
        </row>
        <row r="383">
          <cell r="F383">
            <v>15676</v>
          </cell>
          <cell r="G383">
            <v>11069.55</v>
          </cell>
          <cell r="H383">
            <v>2965.53</v>
          </cell>
        </row>
        <row r="384">
          <cell r="F384">
            <v>38638</v>
          </cell>
          <cell r="G384">
            <v>17619.53</v>
          </cell>
          <cell r="H384">
            <v>7311.95</v>
          </cell>
        </row>
        <row r="385">
          <cell r="F385">
            <v>19664</v>
          </cell>
          <cell r="G385">
            <v>10337.700000000001</v>
          </cell>
          <cell r="H385">
            <v>3789.49</v>
          </cell>
        </row>
        <row r="386">
          <cell r="F386">
            <v>19300</v>
          </cell>
          <cell r="G386">
            <v>11387.18</v>
          </cell>
          <cell r="H386">
            <v>3373.78</v>
          </cell>
        </row>
        <row r="387">
          <cell r="F387">
            <v>29525</v>
          </cell>
          <cell r="G387">
            <v>18259.36</v>
          </cell>
          <cell r="H387">
            <v>4816.3599999999997</v>
          </cell>
        </row>
        <row r="388">
          <cell r="F388">
            <v>46982</v>
          </cell>
          <cell r="G388">
            <v>25724.58</v>
          </cell>
          <cell r="H388">
            <v>5579.77</v>
          </cell>
        </row>
        <row r="389">
          <cell r="F389">
            <v>31482</v>
          </cell>
          <cell r="G389">
            <v>20405.34</v>
          </cell>
          <cell r="H389">
            <v>5518.98</v>
          </cell>
        </row>
        <row r="390">
          <cell r="F390">
            <v>30445</v>
          </cell>
          <cell r="G390">
            <v>20429.189999999999</v>
          </cell>
          <cell r="H390">
            <v>4920.62</v>
          </cell>
        </row>
        <row r="391">
          <cell r="F391">
            <v>38247</v>
          </cell>
          <cell r="G391">
            <v>20655.62</v>
          </cell>
          <cell r="H391">
            <v>3969.97</v>
          </cell>
        </row>
        <row r="392">
          <cell r="F392">
            <v>21951</v>
          </cell>
          <cell r="G392">
            <v>14653.52</v>
          </cell>
          <cell r="H392">
            <v>3474.06</v>
          </cell>
        </row>
        <row r="393">
          <cell r="F393">
            <v>25125</v>
          </cell>
          <cell r="G393">
            <v>14475.56</v>
          </cell>
          <cell r="H393">
            <v>5129.47</v>
          </cell>
        </row>
        <row r="394">
          <cell r="F394">
            <v>46575</v>
          </cell>
          <cell r="G394">
            <v>29112.75</v>
          </cell>
          <cell r="H394">
            <v>9883.31</v>
          </cell>
        </row>
        <row r="395">
          <cell r="F395">
            <v>32073</v>
          </cell>
          <cell r="G395">
            <v>14953.03</v>
          </cell>
          <cell r="H395">
            <v>6401.56</v>
          </cell>
        </row>
        <row r="396">
          <cell r="F396">
            <v>16819</v>
          </cell>
          <cell r="G396">
            <v>11498.85</v>
          </cell>
          <cell r="H396">
            <v>2493.61</v>
          </cell>
        </row>
        <row r="397">
          <cell r="F397">
            <v>18722</v>
          </cell>
          <cell r="G397">
            <v>12700.22</v>
          </cell>
          <cell r="H397">
            <v>1939.69</v>
          </cell>
        </row>
        <row r="398">
          <cell r="F398">
            <v>46516</v>
          </cell>
          <cell r="G398">
            <v>26924.53</v>
          </cell>
          <cell r="H398">
            <v>6515.2</v>
          </cell>
        </row>
        <row r="399">
          <cell r="F399">
            <v>5922</v>
          </cell>
          <cell r="G399">
            <v>4249.6400000000003</v>
          </cell>
          <cell r="H399">
            <v>1101.25</v>
          </cell>
        </row>
        <row r="400">
          <cell r="F400">
            <v>27567</v>
          </cell>
          <cell r="G400">
            <v>14986.18</v>
          </cell>
          <cell r="H400">
            <v>2601.75</v>
          </cell>
        </row>
        <row r="401">
          <cell r="F401">
            <v>24059</v>
          </cell>
          <cell r="G401">
            <v>14117.29</v>
          </cell>
          <cell r="H401">
            <v>3677.19</v>
          </cell>
        </row>
        <row r="402">
          <cell r="F402">
            <v>17348</v>
          </cell>
          <cell r="G402">
            <v>8664.7199999999993</v>
          </cell>
          <cell r="H402">
            <v>3590.43</v>
          </cell>
        </row>
        <row r="403">
          <cell r="F403">
            <v>18840</v>
          </cell>
          <cell r="G403">
            <v>12627</v>
          </cell>
          <cell r="H403">
            <v>3062.57</v>
          </cell>
        </row>
        <row r="404">
          <cell r="F404">
            <v>40044</v>
          </cell>
          <cell r="G404">
            <v>25505.64</v>
          </cell>
          <cell r="H404">
            <v>6533.15</v>
          </cell>
        </row>
        <row r="405">
          <cell r="F405">
            <v>29920</v>
          </cell>
          <cell r="G405">
            <v>14573.39</v>
          </cell>
          <cell r="H405">
            <v>3452.27</v>
          </cell>
        </row>
        <row r="406">
          <cell r="F406">
            <v>11617</v>
          </cell>
          <cell r="G406">
            <v>7536.47</v>
          </cell>
          <cell r="H406">
            <v>1368.45</v>
          </cell>
        </row>
        <row r="407">
          <cell r="F407">
            <v>11964</v>
          </cell>
          <cell r="G407">
            <v>7170.29</v>
          </cell>
          <cell r="H407">
            <v>1977.17</v>
          </cell>
        </row>
        <row r="408">
          <cell r="F408">
            <v>7582</v>
          </cell>
          <cell r="G408">
            <v>4658.7</v>
          </cell>
          <cell r="H408">
            <v>1572.89</v>
          </cell>
        </row>
        <row r="409">
          <cell r="F409">
            <v>10832</v>
          </cell>
          <cell r="G409">
            <v>7821.4</v>
          </cell>
          <cell r="H409">
            <v>2133.17</v>
          </cell>
        </row>
        <row r="410">
          <cell r="F410">
            <v>21770</v>
          </cell>
          <cell r="G410">
            <v>14004.66</v>
          </cell>
          <cell r="H410">
            <v>3133.69</v>
          </cell>
        </row>
        <row r="411">
          <cell r="F411">
            <v>24042</v>
          </cell>
          <cell r="G411">
            <v>13416.98</v>
          </cell>
          <cell r="H411">
            <v>4201.2700000000004</v>
          </cell>
        </row>
        <row r="412">
          <cell r="F412">
            <v>47414</v>
          </cell>
          <cell r="G412">
            <v>23761.7</v>
          </cell>
          <cell r="H412">
            <v>6166.37</v>
          </cell>
        </row>
        <row r="413">
          <cell r="F413">
            <v>12460</v>
          </cell>
          <cell r="G413">
            <v>7105.11</v>
          </cell>
          <cell r="H413">
            <v>2675.45</v>
          </cell>
        </row>
        <row r="414">
          <cell r="F414">
            <v>8843</v>
          </cell>
          <cell r="G414">
            <v>6583.35</v>
          </cell>
          <cell r="H414">
            <v>1752.76</v>
          </cell>
        </row>
        <row r="415">
          <cell r="F415">
            <v>28501</v>
          </cell>
          <cell r="G415">
            <v>18052.75</v>
          </cell>
          <cell r="H415">
            <v>5721.88</v>
          </cell>
        </row>
        <row r="416">
          <cell r="F416">
            <v>8012</v>
          </cell>
          <cell r="G416">
            <v>3757.63</v>
          </cell>
          <cell r="H416">
            <v>1375.63</v>
          </cell>
        </row>
        <row r="417">
          <cell r="F417">
            <v>21290</v>
          </cell>
          <cell r="G417">
            <v>12658.58</v>
          </cell>
          <cell r="H417">
            <v>3681.46</v>
          </cell>
        </row>
        <row r="418">
          <cell r="F418">
            <v>38132</v>
          </cell>
          <cell r="G418">
            <v>26869.85</v>
          </cell>
          <cell r="H418">
            <v>7598.26</v>
          </cell>
        </row>
        <row r="419">
          <cell r="F419">
            <v>23229</v>
          </cell>
          <cell r="G419">
            <v>10803.93</v>
          </cell>
          <cell r="H419">
            <v>2582.5700000000002</v>
          </cell>
        </row>
        <row r="420">
          <cell r="F420">
            <v>42554</v>
          </cell>
          <cell r="G420">
            <v>24869.82</v>
          </cell>
          <cell r="H420">
            <v>8507.5</v>
          </cell>
        </row>
        <row r="421">
          <cell r="F421">
            <v>32023</v>
          </cell>
          <cell r="G421">
            <v>14754.58</v>
          </cell>
          <cell r="H421">
            <v>5023.57</v>
          </cell>
        </row>
        <row r="422">
          <cell r="F422">
            <v>8556</v>
          </cell>
          <cell r="G422">
            <v>5946.22</v>
          </cell>
          <cell r="H422">
            <v>1695.84</v>
          </cell>
        </row>
        <row r="423">
          <cell r="F423">
            <v>48182</v>
          </cell>
          <cell r="G423">
            <v>24887.17</v>
          </cell>
          <cell r="H423">
            <v>6157.18</v>
          </cell>
        </row>
        <row r="424">
          <cell r="F424">
            <v>14204</v>
          </cell>
          <cell r="G424">
            <v>9893.82</v>
          </cell>
          <cell r="H424">
            <v>2612.85</v>
          </cell>
        </row>
        <row r="425">
          <cell r="F425">
            <v>19128</v>
          </cell>
          <cell r="G425">
            <v>11230.31</v>
          </cell>
          <cell r="H425">
            <v>3622.82</v>
          </cell>
        </row>
        <row r="426">
          <cell r="F426">
            <v>43588</v>
          </cell>
          <cell r="G426">
            <v>21225.86</v>
          </cell>
          <cell r="H426">
            <v>8928.81</v>
          </cell>
        </row>
        <row r="427">
          <cell r="F427">
            <v>41256</v>
          </cell>
          <cell r="G427">
            <v>30141.32</v>
          </cell>
          <cell r="H427">
            <v>8145.35</v>
          </cell>
        </row>
        <row r="428">
          <cell r="F428">
            <v>48091</v>
          </cell>
          <cell r="G428">
            <v>30305.21</v>
          </cell>
          <cell r="H428">
            <v>9790.24</v>
          </cell>
        </row>
        <row r="429">
          <cell r="F429">
            <v>24278</v>
          </cell>
          <cell r="G429">
            <v>14223.36</v>
          </cell>
          <cell r="H429">
            <v>2395.56</v>
          </cell>
        </row>
        <row r="430">
          <cell r="F430">
            <v>45905</v>
          </cell>
          <cell r="G430">
            <v>30495.4</v>
          </cell>
          <cell r="H430">
            <v>8085.04</v>
          </cell>
        </row>
        <row r="431">
          <cell r="F431">
            <v>36481</v>
          </cell>
          <cell r="G431">
            <v>22794.86</v>
          </cell>
          <cell r="H431">
            <v>7733.03</v>
          </cell>
        </row>
        <row r="432">
          <cell r="F432">
            <v>6656</v>
          </cell>
          <cell r="G432">
            <v>3755.72</v>
          </cell>
          <cell r="H432">
            <v>581.92999999999995</v>
          </cell>
        </row>
        <row r="433">
          <cell r="F433">
            <v>14596</v>
          </cell>
          <cell r="G433">
            <v>10243.69</v>
          </cell>
          <cell r="H433">
            <v>2578.87</v>
          </cell>
        </row>
        <row r="434">
          <cell r="F434">
            <v>49271</v>
          </cell>
          <cell r="G434">
            <v>33102.61</v>
          </cell>
          <cell r="H434">
            <v>9907.2999999999993</v>
          </cell>
        </row>
        <row r="435">
          <cell r="F435">
            <v>8078</v>
          </cell>
          <cell r="G435">
            <v>5880.34</v>
          </cell>
          <cell r="H435">
            <v>1084.53</v>
          </cell>
        </row>
        <row r="436">
          <cell r="F436">
            <v>34036</v>
          </cell>
          <cell r="G436">
            <v>23791</v>
          </cell>
          <cell r="H436">
            <v>7066.15</v>
          </cell>
        </row>
        <row r="437">
          <cell r="F437">
            <v>49738</v>
          </cell>
          <cell r="G437">
            <v>23493.279999999999</v>
          </cell>
          <cell r="H437">
            <v>10681.06</v>
          </cell>
        </row>
        <row r="438">
          <cell r="F438">
            <v>41477</v>
          </cell>
          <cell r="G438">
            <v>21952.61</v>
          </cell>
          <cell r="H438">
            <v>4252.6400000000003</v>
          </cell>
        </row>
        <row r="439">
          <cell r="F439">
            <v>7617</v>
          </cell>
          <cell r="G439">
            <v>3778.88</v>
          </cell>
          <cell r="H439">
            <v>953.41</v>
          </cell>
        </row>
        <row r="440">
          <cell r="F440">
            <v>25831</v>
          </cell>
          <cell r="G440">
            <v>15695.39</v>
          </cell>
          <cell r="H440">
            <v>5527.27</v>
          </cell>
        </row>
        <row r="441">
          <cell r="F441">
            <v>19496</v>
          </cell>
          <cell r="G441">
            <v>13940.01</v>
          </cell>
          <cell r="H441">
            <v>3370.21</v>
          </cell>
        </row>
        <row r="442">
          <cell r="F442">
            <v>5576</v>
          </cell>
          <cell r="G442">
            <v>2701.11</v>
          </cell>
          <cell r="H442">
            <v>716.19</v>
          </cell>
        </row>
        <row r="443">
          <cell r="F443">
            <v>30288</v>
          </cell>
          <cell r="G443">
            <v>15961.08</v>
          </cell>
          <cell r="H443">
            <v>5492.93</v>
          </cell>
        </row>
        <row r="444">
          <cell r="F444">
            <v>47698</v>
          </cell>
          <cell r="G444">
            <v>24218.84</v>
          </cell>
          <cell r="H444">
            <v>7247.48</v>
          </cell>
        </row>
        <row r="445">
          <cell r="F445">
            <v>46255</v>
          </cell>
          <cell r="G445">
            <v>31549.360000000001</v>
          </cell>
          <cell r="H445">
            <v>9301.56</v>
          </cell>
        </row>
        <row r="446">
          <cell r="F446">
            <v>15076</v>
          </cell>
          <cell r="G446">
            <v>6891.63</v>
          </cell>
          <cell r="H446">
            <v>2719.13</v>
          </cell>
        </row>
        <row r="447">
          <cell r="F447">
            <v>9616</v>
          </cell>
          <cell r="G447">
            <v>5985.85</v>
          </cell>
          <cell r="H447">
            <v>1075.75</v>
          </cell>
        </row>
        <row r="448">
          <cell r="F448">
            <v>6106</v>
          </cell>
          <cell r="G448">
            <v>3461.19</v>
          </cell>
          <cell r="H448">
            <v>589.61</v>
          </cell>
        </row>
        <row r="449">
          <cell r="F449">
            <v>11955</v>
          </cell>
          <cell r="G449">
            <v>6419.25</v>
          </cell>
          <cell r="H449">
            <v>2104.36</v>
          </cell>
        </row>
        <row r="450">
          <cell r="F450">
            <v>7019</v>
          </cell>
          <cell r="G450">
            <v>4156.63</v>
          </cell>
          <cell r="H450">
            <v>1085.74</v>
          </cell>
        </row>
        <row r="451">
          <cell r="F451">
            <v>29453</v>
          </cell>
          <cell r="G451">
            <v>21713.27</v>
          </cell>
          <cell r="H451">
            <v>2402.2199999999998</v>
          </cell>
        </row>
        <row r="452">
          <cell r="F452">
            <v>44102</v>
          </cell>
          <cell r="G452">
            <v>25059.84</v>
          </cell>
          <cell r="H452">
            <v>6908.74</v>
          </cell>
        </row>
        <row r="453">
          <cell r="F453">
            <v>38590</v>
          </cell>
          <cell r="G453">
            <v>19014.7</v>
          </cell>
          <cell r="H453">
            <v>4081.24</v>
          </cell>
        </row>
        <row r="454">
          <cell r="F454">
            <v>8564</v>
          </cell>
          <cell r="G454">
            <v>6041.19</v>
          </cell>
          <cell r="H454">
            <v>1802.99</v>
          </cell>
        </row>
        <row r="455">
          <cell r="F455">
            <v>17937</v>
          </cell>
          <cell r="G455">
            <v>11976.12</v>
          </cell>
          <cell r="H455">
            <v>2658.38</v>
          </cell>
        </row>
        <row r="456">
          <cell r="F456">
            <v>9574</v>
          </cell>
          <cell r="G456">
            <v>6893.62</v>
          </cell>
          <cell r="H456">
            <v>1191.8699999999999</v>
          </cell>
        </row>
        <row r="457">
          <cell r="F457">
            <v>16051</v>
          </cell>
          <cell r="G457">
            <v>7246.22</v>
          </cell>
          <cell r="H457">
            <v>1837.27</v>
          </cell>
        </row>
        <row r="458">
          <cell r="F458">
            <v>36454</v>
          </cell>
          <cell r="G458">
            <v>21466.1</v>
          </cell>
          <cell r="H458">
            <v>4747.18</v>
          </cell>
        </row>
        <row r="459">
          <cell r="F459">
            <v>40298</v>
          </cell>
          <cell r="G459">
            <v>20508.84</v>
          </cell>
          <cell r="H459">
            <v>7362.29</v>
          </cell>
        </row>
        <row r="460">
          <cell r="F460">
            <v>31550</v>
          </cell>
          <cell r="G460">
            <v>21477.98</v>
          </cell>
          <cell r="H460">
            <v>3463.76</v>
          </cell>
        </row>
        <row r="461">
          <cell r="F461">
            <v>19634</v>
          </cell>
          <cell r="G461">
            <v>14086.05</v>
          </cell>
          <cell r="H461">
            <v>3191.39</v>
          </cell>
        </row>
        <row r="462">
          <cell r="F462">
            <v>37910</v>
          </cell>
          <cell r="G462">
            <v>17179.96</v>
          </cell>
          <cell r="H462">
            <v>4300.6400000000003</v>
          </cell>
        </row>
        <row r="463">
          <cell r="F463">
            <v>42116</v>
          </cell>
          <cell r="G463">
            <v>30938.98</v>
          </cell>
          <cell r="H463">
            <v>7257.34</v>
          </cell>
        </row>
        <row r="464">
          <cell r="F464">
            <v>9119</v>
          </cell>
          <cell r="G464">
            <v>4826.75</v>
          </cell>
          <cell r="H464">
            <v>1028.28</v>
          </cell>
        </row>
        <row r="465">
          <cell r="F465">
            <v>7615</v>
          </cell>
          <cell r="G465">
            <v>5666.91</v>
          </cell>
          <cell r="H465">
            <v>954.69</v>
          </cell>
        </row>
        <row r="466">
          <cell r="F466">
            <v>29806</v>
          </cell>
          <cell r="G466">
            <v>16679.11</v>
          </cell>
          <cell r="H466">
            <v>5110.75</v>
          </cell>
        </row>
        <row r="467">
          <cell r="F467">
            <v>28127</v>
          </cell>
          <cell r="G467">
            <v>19553.080000000002</v>
          </cell>
          <cell r="H467">
            <v>3608.82</v>
          </cell>
        </row>
        <row r="468">
          <cell r="F468">
            <v>10052</v>
          </cell>
          <cell r="G468">
            <v>6075.05</v>
          </cell>
          <cell r="H468">
            <v>1199.3399999999999</v>
          </cell>
        </row>
        <row r="469">
          <cell r="F469">
            <v>32172</v>
          </cell>
          <cell r="G469">
            <v>22306.51</v>
          </cell>
          <cell r="H469">
            <v>5817.85</v>
          </cell>
        </row>
        <row r="470">
          <cell r="F470">
            <v>6471</v>
          </cell>
          <cell r="G470">
            <v>3384.99</v>
          </cell>
          <cell r="H470">
            <v>633.54</v>
          </cell>
        </row>
        <row r="471">
          <cell r="F471">
            <v>21925</v>
          </cell>
          <cell r="G471">
            <v>15933.64</v>
          </cell>
          <cell r="H471">
            <v>3339.83</v>
          </cell>
        </row>
        <row r="472">
          <cell r="F472">
            <v>44749</v>
          </cell>
          <cell r="G472">
            <v>33464.769999999997</v>
          </cell>
          <cell r="H472">
            <v>9013.4500000000007</v>
          </cell>
        </row>
        <row r="473">
          <cell r="F473">
            <v>38476</v>
          </cell>
          <cell r="G473">
            <v>20367.509999999998</v>
          </cell>
          <cell r="H473">
            <v>6979.01</v>
          </cell>
        </row>
        <row r="474">
          <cell r="F474">
            <v>12115</v>
          </cell>
          <cell r="G474">
            <v>5511.95</v>
          </cell>
          <cell r="H474">
            <v>1855.77</v>
          </cell>
        </row>
        <row r="475">
          <cell r="F475">
            <v>45288</v>
          </cell>
          <cell r="G475">
            <v>28528.91</v>
          </cell>
          <cell r="H475">
            <v>9188.27</v>
          </cell>
        </row>
        <row r="476">
          <cell r="F476">
            <v>44549</v>
          </cell>
          <cell r="G476">
            <v>27254.45</v>
          </cell>
          <cell r="H476">
            <v>3571.41</v>
          </cell>
        </row>
        <row r="477">
          <cell r="F477">
            <v>33112</v>
          </cell>
          <cell r="G477">
            <v>17180.02</v>
          </cell>
          <cell r="H477">
            <v>6368.17</v>
          </cell>
        </row>
        <row r="478">
          <cell r="F478">
            <v>36269</v>
          </cell>
          <cell r="G478">
            <v>24654.13</v>
          </cell>
          <cell r="H478">
            <v>7522.62</v>
          </cell>
        </row>
        <row r="479">
          <cell r="F479">
            <v>5466</v>
          </cell>
          <cell r="G479">
            <v>3407.48</v>
          </cell>
          <cell r="H479">
            <v>527.45000000000005</v>
          </cell>
        </row>
        <row r="480">
          <cell r="F480">
            <v>15143</v>
          </cell>
          <cell r="G480">
            <v>8749.9500000000007</v>
          </cell>
          <cell r="H480">
            <v>2452.44</v>
          </cell>
        </row>
        <row r="481">
          <cell r="F481">
            <v>18349</v>
          </cell>
          <cell r="G481">
            <v>10531.75</v>
          </cell>
          <cell r="H481">
            <v>3481.36</v>
          </cell>
        </row>
        <row r="482">
          <cell r="F482">
            <v>27567</v>
          </cell>
          <cell r="G482">
            <v>18807.82</v>
          </cell>
          <cell r="H482">
            <v>3741.89</v>
          </cell>
        </row>
        <row r="483">
          <cell r="F483">
            <v>38314</v>
          </cell>
          <cell r="G483">
            <v>21845.43</v>
          </cell>
          <cell r="H483">
            <v>4880.49</v>
          </cell>
        </row>
        <row r="484">
          <cell r="F484">
            <v>10969</v>
          </cell>
          <cell r="G484">
            <v>7645.14</v>
          </cell>
          <cell r="H484">
            <v>1601.84</v>
          </cell>
        </row>
        <row r="485">
          <cell r="F485">
            <v>10245</v>
          </cell>
          <cell r="G485">
            <v>6482.1</v>
          </cell>
          <cell r="H485">
            <v>1858.74</v>
          </cell>
        </row>
        <row r="486">
          <cell r="F486">
            <v>33768</v>
          </cell>
          <cell r="G486">
            <v>15304.1</v>
          </cell>
          <cell r="H486">
            <v>6722.52</v>
          </cell>
        </row>
        <row r="487">
          <cell r="F487">
            <v>38804</v>
          </cell>
          <cell r="G487">
            <v>25592.59</v>
          </cell>
          <cell r="H487">
            <v>6446.38</v>
          </cell>
        </row>
        <row r="488">
          <cell r="F488">
            <v>23083</v>
          </cell>
          <cell r="G488">
            <v>15786.51</v>
          </cell>
          <cell r="H488">
            <v>2987.81</v>
          </cell>
        </row>
        <row r="489">
          <cell r="F489">
            <v>23644</v>
          </cell>
          <cell r="G489">
            <v>15790.45</v>
          </cell>
          <cell r="H489">
            <v>3742.28</v>
          </cell>
        </row>
        <row r="490">
          <cell r="F490">
            <v>34803</v>
          </cell>
          <cell r="G490">
            <v>25368.400000000001</v>
          </cell>
          <cell r="H490">
            <v>5585.43</v>
          </cell>
        </row>
        <row r="491">
          <cell r="F491">
            <v>27280</v>
          </cell>
          <cell r="G491">
            <v>20026.37</v>
          </cell>
          <cell r="H491">
            <v>5249</v>
          </cell>
        </row>
        <row r="492">
          <cell r="F492">
            <v>20943</v>
          </cell>
          <cell r="G492">
            <v>14183.48</v>
          </cell>
          <cell r="H492">
            <v>4493.8100000000004</v>
          </cell>
        </row>
        <row r="493">
          <cell r="F493">
            <v>30078</v>
          </cell>
          <cell r="G493">
            <v>19252.88</v>
          </cell>
          <cell r="H493">
            <v>6592.73</v>
          </cell>
        </row>
        <row r="494">
          <cell r="F494">
            <v>5637</v>
          </cell>
          <cell r="G494">
            <v>3721.8</v>
          </cell>
          <cell r="H494">
            <v>658.79</v>
          </cell>
        </row>
        <row r="495">
          <cell r="F495">
            <v>36231</v>
          </cell>
          <cell r="G495">
            <v>19715.53</v>
          </cell>
          <cell r="H495">
            <v>4007.12</v>
          </cell>
        </row>
        <row r="496">
          <cell r="F496">
            <v>20391</v>
          </cell>
          <cell r="G496">
            <v>13674.79</v>
          </cell>
          <cell r="H496">
            <v>4122.7299999999996</v>
          </cell>
        </row>
        <row r="497">
          <cell r="F497">
            <v>12856</v>
          </cell>
          <cell r="G497">
            <v>9334.18</v>
          </cell>
          <cell r="H497">
            <v>2244.83</v>
          </cell>
        </row>
        <row r="498">
          <cell r="F498">
            <v>25671</v>
          </cell>
          <cell r="G498">
            <v>15343.61</v>
          </cell>
          <cell r="H498">
            <v>5595.01</v>
          </cell>
        </row>
        <row r="499">
          <cell r="F499">
            <v>31075</v>
          </cell>
          <cell r="G499">
            <v>16054.21</v>
          </cell>
          <cell r="H499">
            <v>4994.78</v>
          </cell>
        </row>
        <row r="500">
          <cell r="F500">
            <v>30802</v>
          </cell>
          <cell r="G500">
            <v>21811.51</v>
          </cell>
          <cell r="H500">
            <v>5810.08</v>
          </cell>
        </row>
        <row r="501">
          <cell r="F501">
            <v>18811</v>
          </cell>
          <cell r="G501">
            <v>10606.18</v>
          </cell>
          <cell r="H501">
            <v>1770.2</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2.602321990744" createdVersion="8" refreshedVersion="8" minRefreshableVersion="3" recordCount="500" xr:uid="{B213B46F-52F8-4B1E-83AD-33EC72532286}">
  <cacheSource type="worksheet">
    <worksheetSource ref="A1:P501" sheet="Worked Sheet"/>
  </cacheSource>
  <cacheFields count="16">
    <cacheField name="Date" numFmtId="14">
      <sharedItems count="258">
        <s v="2025-01-01"/>
        <s v="2025-01-03"/>
        <s v="2025-01-05"/>
        <s v="2025-01-07"/>
        <s v="2025-01-08"/>
        <s v="2025-01-12"/>
        <s v="2025-01-14"/>
        <s v="2025-01-16"/>
        <s v="2025-01-17"/>
        <s v="2025-01-18"/>
        <s v="2025-01-19"/>
        <s v="2025-01-21"/>
        <s v="2025-01-22"/>
        <s v="2025-01-23"/>
        <s v="2025-01-24"/>
        <s v="2025-01-25"/>
        <s v="2025-01-26"/>
        <s v="2025-01-27"/>
        <s v="2025-01-28"/>
        <s v="2025-01-29"/>
        <s v="2025-01-30"/>
        <s v="2025-02-01"/>
        <s v="2025-02-02"/>
        <s v="2025-02-04"/>
        <s v="2025-02-05"/>
        <s v="2025-02-06"/>
        <s v="2025-02-07"/>
        <s v="2025-02-08"/>
        <s v="2025-02-09"/>
        <s v="2025-02-10"/>
        <s v="2025-02-11"/>
        <s v="2025-02-12"/>
        <s v="2025-02-13"/>
        <s v="2025-02-14"/>
        <s v="2025-02-16"/>
        <s v="2025-02-19"/>
        <s v="2025-02-20"/>
        <s v="2025-02-21"/>
        <s v="2025-02-22"/>
        <s v="2025-02-23"/>
        <s v="2025-02-24"/>
        <s v="2025-02-25"/>
        <s v="2025-02-27"/>
        <s v="2025-02-28"/>
        <s v="2025-03-02"/>
        <s v="2025-03-03"/>
        <s v="2025-03-04"/>
        <s v="2025-03-05"/>
        <s v="2025-03-06"/>
        <s v="2025-03-07"/>
        <s v="2025-03-08"/>
        <s v="2025-03-09"/>
        <s v="2025-03-10"/>
        <s v="2025-03-11"/>
        <s v="2025-03-12"/>
        <s v="2025-03-13"/>
        <s v="2025-03-14"/>
        <s v="2025-03-15"/>
        <s v="2025-03-16"/>
        <s v="2025-03-17"/>
        <s v="2025-03-18"/>
        <s v="2025-03-21"/>
        <s v="2025-03-22"/>
        <s v="2025-03-23"/>
        <s v="2025-03-24"/>
        <s v="2025-03-27"/>
        <s v="2025-03-28"/>
        <s v="2025-03-30"/>
        <s v="2025-04-01"/>
        <s v="2025-04-02"/>
        <s v="2025-04-03"/>
        <s v="2025-04-04"/>
        <s v="2025-04-05"/>
        <s v="2025-04-07"/>
        <s v="2025-04-08"/>
        <s v="2025-04-09"/>
        <s v="2025-04-10"/>
        <s v="2025-04-12"/>
        <s v="2025-04-13"/>
        <s v="2025-04-14"/>
        <s v="2025-04-15"/>
        <s v="2025-04-16"/>
        <s v="2025-04-17"/>
        <s v="2025-04-18"/>
        <s v="2025-04-20"/>
        <s v="2025-04-21"/>
        <s v="2025-04-22"/>
        <s v="2025-04-23"/>
        <s v="2025-04-24"/>
        <s v="2025-04-25"/>
        <s v="2025-04-28"/>
        <s v="2025-04-29"/>
        <s v="2025-04-30"/>
        <s v="2025-05-01"/>
        <s v="2025-05-02"/>
        <s v="2025-05-04"/>
        <s v="2025-05-06"/>
        <s v="2025-05-07"/>
        <s v="2025-05-08"/>
        <s v="2025-05-09"/>
        <s v="2025-05-10"/>
        <s v="2025-05-11"/>
        <s v="2025-05-13"/>
        <s v="2025-05-14"/>
        <s v="2025-05-15"/>
        <s v="2025-05-16"/>
        <s v="2025-05-17"/>
        <s v="2025-05-18"/>
        <s v="2025-05-20"/>
        <s v="2025-05-21"/>
        <s v="2025-05-22"/>
        <s v="2025-05-23"/>
        <s v="2025-05-24"/>
        <s v="2025-05-27"/>
        <s v="2025-05-30"/>
        <s v="2025-05-31"/>
        <s v="2025-06-01"/>
        <s v="2025-06-02"/>
        <s v="2025-06-04"/>
        <s v="2025-06-07"/>
        <s v="2025-06-09"/>
        <s v="2025-06-10"/>
        <s v="2025-06-11"/>
        <s v="2025-06-12"/>
        <s v="2025-06-13"/>
        <s v="2025-06-14"/>
        <s v="2025-06-19"/>
        <s v="2025-06-23"/>
        <s v="2025-06-24"/>
        <s v="2025-06-25"/>
        <s v="2025-06-26"/>
        <s v="2025-06-27"/>
        <s v="2025-06-28"/>
        <s v="2025-06-30"/>
        <s v="2025-07-03"/>
        <s v="2025-07-06"/>
        <s v="2025-07-07"/>
        <s v="2025-07-08"/>
        <s v="2025-07-09"/>
        <s v="2025-07-10"/>
        <s v="2025-07-11"/>
        <s v="2025-07-12"/>
        <s v="2025-07-14"/>
        <s v="2025-07-15"/>
        <s v="2025-07-16"/>
        <s v="2025-07-17"/>
        <s v="2025-07-18"/>
        <s v="2025-07-19"/>
        <s v="2025-07-20"/>
        <s v="2025-07-21"/>
        <s v="2025-07-22"/>
        <s v="2025-07-23"/>
        <s v="2025-07-25"/>
        <s v="2025-07-26"/>
        <s v="2025-07-27"/>
        <s v="2025-07-28"/>
        <s v="2025-07-29"/>
        <s v="2025-07-30"/>
        <s v="2025-07-31"/>
        <s v="2025-08-02"/>
        <s v="2025-08-03"/>
        <s v="2025-08-04"/>
        <s v="2025-08-08"/>
        <s v="2025-08-09"/>
        <s v="2025-08-11"/>
        <s v="2025-08-12"/>
        <s v="2025-08-13"/>
        <s v="2025-08-14"/>
        <s v="2025-08-15"/>
        <s v="2025-08-16"/>
        <s v="2025-08-17"/>
        <s v="2025-08-18"/>
        <s v="2025-08-19"/>
        <s v="2025-08-20"/>
        <s v="2025-08-22"/>
        <s v="2025-08-23"/>
        <s v="2025-08-25"/>
        <s v="2025-08-26"/>
        <s v="2025-08-29"/>
        <s v="2025-08-31"/>
        <s v="2025-09-01"/>
        <s v="2025-09-03"/>
        <s v="2025-09-05"/>
        <s v="2025-09-06"/>
        <s v="2025-09-10"/>
        <s v="2025-09-11"/>
        <s v="2025-09-12"/>
        <s v="2025-09-15"/>
        <s v="2025-09-16"/>
        <s v="2025-09-17"/>
        <s v="2025-09-19"/>
        <s v="2025-09-20"/>
        <s v="2025-09-21"/>
        <s v="2025-09-22"/>
        <s v="2025-09-23"/>
        <s v="2025-09-24"/>
        <s v="2025-09-27"/>
        <s v="2025-09-29"/>
        <s v="2025-09-30"/>
        <s v="2025-10-01"/>
        <s v="2025-10-02"/>
        <s v="2025-10-06"/>
        <s v="2025-10-09"/>
        <s v="2025-10-11"/>
        <s v="2025-10-13"/>
        <s v="2025-10-14"/>
        <s v="2025-10-15"/>
        <s v="2025-10-17"/>
        <s v="2025-10-18"/>
        <s v="2025-10-19"/>
        <s v="2025-10-21"/>
        <s v="2025-10-23"/>
        <s v="2025-10-24"/>
        <s v="2025-10-28"/>
        <s v="2025-10-29"/>
        <s v="2025-10-31"/>
        <s v="2025-11-01"/>
        <s v="2025-11-02"/>
        <s v="2025-11-03"/>
        <s v="2025-11-04"/>
        <s v="2025-11-07"/>
        <s v="2025-11-10"/>
        <s v="2025-11-11"/>
        <s v="2025-11-12"/>
        <s v="2025-11-14"/>
        <s v="2025-11-20"/>
        <s v="2025-11-21"/>
        <s v="2025-11-22"/>
        <s v="2025-11-23"/>
        <s v="2025-11-24"/>
        <s v="2025-11-25"/>
        <s v="2025-11-26"/>
        <s v="2025-11-27"/>
        <s v="2025-11-28"/>
        <s v="2025-11-29"/>
        <s v="2025-11-30"/>
        <s v="2025-12-01"/>
        <s v="2025-12-02"/>
        <s v="2025-12-03"/>
        <s v="2025-12-04"/>
        <s v="2025-12-05"/>
        <s v="2025-12-06"/>
        <s v="2025-12-07"/>
        <s v="2025-12-09"/>
        <s v="2025-12-10"/>
        <s v="2025-12-11"/>
        <s v="2025-12-12"/>
        <s v="2025-12-14"/>
        <s v="2025-12-17"/>
        <s v="2025-12-18"/>
        <s v="2025-12-19"/>
        <s v="2025-12-20"/>
        <s v="2025-12-22"/>
        <s v="2025-12-23"/>
        <s v="2025-12-25"/>
        <s v="2025-12-28"/>
        <s v="2025-12-29"/>
        <s v="2025-12-30"/>
      </sharedItems>
    </cacheField>
    <cacheField name="Region" numFmtId="0">
      <sharedItems count="4">
        <s v="East"/>
        <s v="North"/>
        <s v="West"/>
        <s v="South"/>
      </sharedItems>
    </cacheField>
    <cacheField name="Business Unit" numFmtId="0">
      <sharedItems count="2">
        <s v="Enterprise"/>
        <s v="Retail"/>
      </sharedItems>
    </cacheField>
    <cacheField name="Product" numFmtId="0">
      <sharedItems count="4">
        <s v="Delta"/>
        <s v="Gamma"/>
        <s v="Alpha"/>
        <s v="Beta"/>
      </sharedItems>
    </cacheField>
    <cacheField name="Customer Segment" numFmtId="0">
      <sharedItems count="3">
        <s v="Corporate"/>
        <s v="SMB"/>
        <s v="Consumer"/>
      </sharedItems>
    </cacheField>
    <cacheField name="Revenue" numFmtId="164">
      <sharedItems containsSemiMixedTypes="0" containsString="0" containsNumber="1" containsInteger="1" minValue="5168" maxValue="49944" count="499">
        <n v="24914"/>
        <n v="10969"/>
        <n v="19664"/>
        <n v="13992"/>
        <n v="22331"/>
        <n v="14680"/>
        <n v="25444"/>
        <n v="13637"/>
        <n v="32190"/>
        <n v="28651"/>
        <n v="25897"/>
        <n v="11140"/>
        <n v="33267"/>
        <n v="25673"/>
        <n v="20170"/>
        <n v="42982"/>
        <n v="37905"/>
        <n v="13273"/>
        <n v="33313"/>
        <n v="16481"/>
        <n v="24042"/>
        <n v="33588"/>
        <n v="33577"/>
        <n v="20169"/>
        <n v="35917"/>
        <n v="31275"/>
        <n v="7615"/>
        <n v="20626"/>
        <n v="5418"/>
        <n v="41256"/>
        <n v="15676"/>
        <n v="13307"/>
        <n v="46575"/>
        <n v="13137"/>
        <n v="21350"/>
        <n v="41485"/>
        <n v="30216"/>
        <n v="35731"/>
        <n v="30078"/>
        <n v="21009"/>
        <n v="8908"/>
        <n v="20004"/>
        <n v="34846"/>
        <n v="42815"/>
        <n v="34489"/>
        <n v="10376"/>
        <n v="18284"/>
        <n v="23725"/>
        <n v="29448"/>
        <n v="37819"/>
        <n v="15292"/>
        <n v="26532"/>
        <n v="22832"/>
        <n v="15506"/>
        <n v="42053"/>
        <n v="12606"/>
        <n v="21263"/>
        <n v="24303"/>
        <n v="23083"/>
        <n v="30771"/>
        <n v="5340"/>
        <n v="21267"/>
        <n v="29421"/>
        <n v="8252"/>
        <n v="48182"/>
        <n v="37069"/>
        <n v="21956"/>
        <n v="17937"/>
        <n v="38271"/>
        <n v="21770"/>
        <n v="28178"/>
        <n v="14597"/>
        <n v="40185"/>
        <n v="13800"/>
        <n v="9862"/>
        <n v="20545"/>
        <n v="20945"/>
        <n v="11312"/>
        <n v="6656"/>
        <n v="15143"/>
        <n v="12856"/>
        <n v="30070"/>
        <n v="28788"/>
        <n v="9047"/>
        <n v="7111"/>
        <n v="27621"/>
        <n v="31544"/>
        <n v="6698"/>
        <n v="11964"/>
        <n v="30288"/>
        <n v="36386"/>
        <n v="42334"/>
        <n v="40118"/>
        <n v="5506"/>
        <n v="10925"/>
        <n v="34800"/>
        <n v="29807"/>
        <n v="15353"/>
        <n v="43638"/>
        <n v="42000"/>
        <n v="9406"/>
        <n v="7741"/>
        <n v="21951"/>
        <n v="29283"/>
        <n v="44549"/>
        <n v="40350"/>
        <n v="18840"/>
        <n v="8843"/>
        <n v="12115"/>
        <n v="25524"/>
        <n v="46760"/>
        <n v="24966"/>
        <n v="26826"/>
        <n v="5339"/>
        <n v="42670"/>
        <n v="17261"/>
        <n v="40298"/>
        <n v="11344"/>
        <n v="31868"/>
        <n v="21003"/>
        <n v="24035"/>
        <n v="9304"/>
        <n v="42132"/>
        <n v="40966"/>
        <n v="7617"/>
        <n v="46792"/>
        <n v="38132"/>
        <n v="9300"/>
        <n v="7582"/>
        <n v="24625"/>
        <n v="18886"/>
        <n v="21925"/>
        <n v="10005"/>
        <n v="42610"/>
        <n v="16540"/>
        <n v="7381"/>
        <n v="49738"/>
        <n v="42116"/>
        <n v="36231"/>
        <n v="19037"/>
        <n v="40748"/>
        <n v="8295"/>
        <n v="12460"/>
        <n v="40253"/>
        <n v="37258"/>
        <n v="11181"/>
        <n v="44280"/>
        <n v="12382"/>
        <n v="24414"/>
        <n v="34803"/>
        <n v="47335"/>
        <n v="44627"/>
        <n v="20391"/>
        <n v="40296"/>
        <n v="15182"/>
        <n v="8890"/>
        <n v="17450"/>
        <n v="43471"/>
        <n v="27471"/>
        <n v="33734"/>
        <n v="45905"/>
        <n v="46161"/>
        <n v="17265"/>
        <n v="38314"/>
        <n v="27059"/>
        <n v="8832"/>
        <n v="42900"/>
        <n v="14065"/>
        <n v="31502"/>
        <n v="13566"/>
        <n v="6550"/>
        <n v="25125"/>
        <n v="10052"/>
        <n v="32172"/>
        <n v="9119"/>
        <n v="35898"/>
        <n v="40373"/>
        <n v="40490"/>
        <n v="15461"/>
        <n v="49092"/>
        <n v="40228"/>
        <n v="28768"/>
        <n v="9071"/>
        <n v="15899"/>
        <n v="18754"/>
        <n v="42138"/>
        <n v="37740"/>
        <n v="37722"/>
        <n v="10650"/>
        <n v="18065"/>
        <n v="23284"/>
        <n v="9442"/>
        <n v="17864"/>
        <n v="14596"/>
        <n v="10367"/>
        <n v="48028"/>
        <n v="48166"/>
        <n v="19300"/>
        <n v="48702"/>
        <n v="29530"/>
        <n v="11743"/>
        <n v="40044"/>
        <n v="36269"/>
        <n v="27304"/>
        <n v="25955"/>
        <n v="25644"/>
        <n v="19138"/>
        <n v="33818"/>
        <n v="28971"/>
        <n v="10972"/>
        <n v="5168"/>
        <n v="12736"/>
        <n v="25249"/>
        <n v="11117"/>
        <n v="18722"/>
        <n v="46982"/>
        <n v="35318"/>
        <n v="41477"/>
        <n v="31075"/>
        <n v="31795"/>
        <n v="38349"/>
        <n v="27280"/>
        <n v="47698"/>
        <n v="30558"/>
        <n v="32073"/>
        <n v="24059"/>
        <n v="47548"/>
        <n v="36650"/>
        <n v="11812"/>
        <n v="24301"/>
        <n v="26258"/>
        <n v="31641"/>
        <n v="16819"/>
        <n v="6106"/>
        <n v="16416"/>
        <n v="45067"/>
        <n v="11493"/>
        <n v="23704"/>
        <n v="45839"/>
        <n v="23229"/>
        <n v="36454"/>
        <n v="12547"/>
        <n v="47126"/>
        <n v="12310"/>
        <n v="24278"/>
        <n v="31928"/>
        <n v="25939"/>
        <n v="30802"/>
        <n v="41732"/>
        <n v="19496"/>
        <n v="19352"/>
        <n v="16092"/>
        <n v="36436"/>
        <n v="38247"/>
        <n v="17348"/>
        <n v="49326"/>
        <n v="8556"/>
        <n v="37910"/>
        <n v="40523"/>
        <n v="33636"/>
        <n v="26708"/>
        <n v="34798"/>
        <n v="18151"/>
        <n v="9519"/>
        <n v="10245"/>
        <n v="34094"/>
        <n v="27222"/>
        <n v="5922"/>
        <n v="15109"/>
        <n v="25562"/>
        <n v="10259"/>
        <n v="35556"/>
        <n v="16108"/>
        <n v="28501"/>
        <n v="45613"/>
        <n v="13725"/>
        <n v="15014"/>
        <n v="20306"/>
        <n v="41803"/>
        <n v="38046"/>
        <n v="45062"/>
        <n v="48091"/>
        <n v="22380"/>
        <n v="19634"/>
        <n v="45402"/>
        <n v="39658"/>
        <n v="28921"/>
        <n v="19128"/>
        <n v="44277"/>
        <n v="36369"/>
        <n v="25915"/>
        <n v="19275"/>
        <n v="46642"/>
        <n v="18349"/>
        <n v="10401"/>
        <n v="27236"/>
        <n v="38724"/>
        <n v="14427"/>
        <n v="32023"/>
        <n v="29855"/>
        <n v="30445"/>
        <n v="28127"/>
        <n v="37019"/>
        <n v="11108"/>
        <n v="38638"/>
        <n v="6471"/>
        <n v="6624"/>
        <n v="27212"/>
        <n v="25967"/>
        <n v="15901"/>
        <n v="40095"/>
        <n v="30524"/>
        <n v="24644"/>
        <n v="16051"/>
        <n v="34415"/>
        <n v="47666"/>
        <n v="27654"/>
        <n v="46516"/>
        <n v="36827"/>
        <n v="36766"/>
        <n v="33797"/>
        <n v="32238"/>
        <n v="8012"/>
        <n v="12617"/>
        <n v="29920"/>
        <n v="42554"/>
        <n v="19062"/>
        <n v="22497"/>
        <n v="44749"/>
        <n v="11783"/>
        <n v="16315"/>
        <n v="41434"/>
        <n v="29458"/>
        <n v="45708"/>
        <n v="7423"/>
        <n v="42070"/>
        <n v="29867"/>
        <n v="34616"/>
        <n v="49535"/>
        <n v="27803"/>
        <n v="17715"/>
        <n v="25986"/>
        <n v="21601"/>
        <n v="34495"/>
        <n v="22601"/>
        <n v="45288"/>
        <n v="33866"/>
        <n v="31320"/>
        <n v="27618"/>
        <n v="27826"/>
        <n v="20943"/>
        <n v="9535"/>
        <n v="19040"/>
        <n v="17807"/>
        <n v="14204"/>
        <n v="44158"/>
        <n v="33768"/>
        <n v="29074"/>
        <n v="11955"/>
        <n v="44677"/>
        <n v="44909"/>
        <n v="18942"/>
        <n v="32413"/>
        <n v="38804"/>
        <n v="32225"/>
        <n v="42686"/>
        <n v="34588"/>
        <n v="35444"/>
        <n v="28709"/>
        <n v="35025"/>
        <n v="36325"/>
        <n v="15317"/>
        <n v="41629"/>
        <n v="33112"/>
        <n v="41152"/>
        <n v="6767"/>
        <n v="26702"/>
        <n v="17483"/>
        <n v="5637"/>
        <n v="32795"/>
        <n v="26678"/>
        <n v="36393"/>
        <n v="23644"/>
        <n v="24145"/>
        <n v="7688"/>
        <n v="43275"/>
        <n v="29603"/>
        <n v="32274"/>
        <n v="39733"/>
        <n v="9616"/>
        <n v="32942"/>
        <n v="36481"/>
        <n v="49944"/>
        <n v="44503"/>
        <n v="49197"/>
        <n v="36162"/>
        <n v="8564"/>
        <n v="44998"/>
        <n v="32581"/>
        <n v="19821"/>
        <n v="12202"/>
        <n v="22520"/>
        <n v="44102"/>
        <n v="25494"/>
        <n v="46445"/>
        <n v="13558"/>
        <n v="46125"/>
        <n v="27567"/>
        <n v="34419"/>
        <n v="42855"/>
        <n v="31550"/>
        <n v="24605"/>
        <n v="41132"/>
        <n v="23231"/>
        <n v="33103"/>
        <n v="48331"/>
        <n v="22589"/>
        <n v="12146"/>
        <n v="19823"/>
        <n v="7200"/>
        <n v="5185"/>
        <n v="49075"/>
        <n v="26261"/>
        <n v="31482"/>
        <n v="32730"/>
        <n v="38392"/>
        <n v="35907"/>
        <n v="19473"/>
        <n v="44033"/>
        <n v="17931"/>
        <n v="49271"/>
        <n v="34036"/>
        <n v="9574"/>
        <n v="25671"/>
        <n v="49852"/>
        <n v="32759"/>
        <n v="7009"/>
        <n v="28909"/>
        <n v="35129"/>
        <n v="30354"/>
        <n v="24124"/>
        <n v="12296"/>
        <n v="42799"/>
        <n v="35071"/>
        <n v="48997"/>
        <n v="26710"/>
        <n v="10851"/>
        <n v="38590"/>
        <n v="29453"/>
        <n v="5576"/>
        <n v="19783"/>
        <n v="21222"/>
        <n v="29806"/>
        <n v="5363"/>
        <n v="48393"/>
        <n v="13315"/>
        <n v="46173"/>
        <n v="45925"/>
        <n v="38476"/>
        <n v="19935"/>
        <n v="11617"/>
        <n v="21290"/>
        <n v="7019"/>
        <n v="31244"/>
        <n v="30925"/>
        <n v="29525"/>
        <n v="47414"/>
        <n v="32717"/>
        <n v="48792"/>
        <n v="19313"/>
        <n v="28265"/>
        <n v="8078"/>
        <n v="25590"/>
        <n v="39802"/>
        <n v="11251"/>
        <n v="27530"/>
        <n v="49919"/>
        <n v="46780"/>
        <n v="41624"/>
        <n v="10832"/>
        <n v="46255"/>
        <n v="43588"/>
        <n v="19005"/>
        <n v="18811"/>
        <n v="44183"/>
        <n v="11436"/>
        <n v="15076"/>
        <n v="24928"/>
        <n v="34091"/>
        <n v="24376"/>
        <n v="24764"/>
        <n v="14095"/>
        <n v="21793"/>
        <n v="20344"/>
        <n v="33028"/>
        <n v="46359"/>
        <n v="25831"/>
        <n v="12542"/>
        <n v="5466"/>
      </sharedItems>
    </cacheField>
    <cacheField name="COGS" numFmtId="164">
      <sharedItems containsSemiMixedTypes="0" containsString="0" containsNumber="1" minValue="2701.11" maxValue="36206.449999999997"/>
    </cacheField>
    <cacheField name="Operating Expense" numFmtId="164">
      <sharedItems containsSemiMixedTypes="0" containsString="0" containsNumber="1" minValue="527.45000000000005" maxValue="10949.47"/>
    </cacheField>
    <cacheField name="Units Sold" numFmtId="0">
      <sharedItems containsSemiMixedTypes="0" containsString="0" containsNumber="1" containsInteger="1" minValue="11" maxValue="500" count="310">
        <n v="306"/>
        <n v="317"/>
        <n v="166"/>
        <n v="497"/>
        <n v="354"/>
        <n v="406"/>
        <n v="202"/>
        <n v="131"/>
        <n v="130"/>
        <n v="421"/>
        <n v="425"/>
        <n v="23"/>
        <n v="465"/>
        <n v="477"/>
        <n v="450"/>
        <n v="475"/>
        <n v="302"/>
        <n v="455"/>
        <n v="479"/>
        <n v="228"/>
        <n v="451"/>
        <n v="285"/>
        <n v="368"/>
        <n v="101"/>
        <n v="154"/>
        <n v="370"/>
        <n v="244"/>
        <n v="128"/>
        <n v="257"/>
        <n v="119"/>
        <n v="391"/>
        <n v="46"/>
        <n v="92"/>
        <n v="194"/>
        <n v="476"/>
        <n v="280"/>
        <n v="150"/>
        <n v="356"/>
        <n v="436"/>
        <n v="393"/>
        <n v="62"/>
        <n v="109"/>
        <n v="86"/>
        <n v="75"/>
        <n v="411"/>
        <n v="65"/>
        <n v="467"/>
        <n v="134"/>
        <n v="60"/>
        <n v="90"/>
        <n v="204"/>
        <n v="320"/>
        <n v="85"/>
        <n v="159"/>
        <n v="188"/>
        <n v="321"/>
        <n v="255"/>
        <n v="212"/>
        <n v="120"/>
        <n v="399"/>
        <n v="35"/>
        <n v="310"/>
        <n v="261"/>
        <n v="434"/>
        <n v="153"/>
        <n v="295"/>
        <n v="179"/>
        <n v="462"/>
        <n v="161"/>
        <n v="218"/>
        <n v="88"/>
        <n v="390"/>
        <n v="50"/>
        <n v="327"/>
        <n v="38"/>
        <n v="143"/>
        <n v="349"/>
        <n v="123"/>
        <n v="167"/>
        <n v="113"/>
        <n v="402"/>
        <n v="357"/>
        <n v="420"/>
        <n v="208"/>
        <n v="408"/>
        <n v="22"/>
        <n v="108"/>
        <n v="76"/>
        <n v="433"/>
        <n v="337"/>
        <n v="331"/>
        <n v="500"/>
        <n v="229"/>
        <n v="293"/>
        <n v="195"/>
        <n v="417"/>
        <n v="133"/>
        <n v="490"/>
        <n v="266"/>
        <n v="96"/>
        <n v="63"/>
        <n v="103"/>
        <n v="300"/>
        <n v="440"/>
        <n v="335"/>
        <n v="37"/>
        <n v="330"/>
        <n v="452"/>
        <n v="48"/>
        <n v="415"/>
        <n v="309"/>
        <n v="491"/>
        <n v="226"/>
        <n v="36"/>
        <n v="124"/>
        <n v="79"/>
        <n v="362"/>
        <n v="217"/>
        <n v="271"/>
        <n v="264"/>
        <n v="387"/>
        <n v="263"/>
        <n v="386"/>
        <n v="84"/>
        <n v="303"/>
        <n v="177"/>
        <n v="242"/>
        <n v="149"/>
        <n v="163"/>
        <n v="29"/>
        <n v="341"/>
        <n v="17"/>
        <n v="473"/>
        <n v="338"/>
        <n v="115"/>
        <n v="334"/>
        <n v="315"/>
        <n v="483"/>
        <n v="430"/>
        <n v="145"/>
        <n v="45"/>
        <n v="481"/>
        <n v="325"/>
        <n v="291"/>
        <n v="193"/>
        <n v="392"/>
        <n v="34"/>
        <n v="307"/>
        <n v="361"/>
        <n v="152"/>
        <n v="200"/>
        <n v="256"/>
        <n v="352"/>
        <n v="297"/>
        <n v="459"/>
        <n v="146"/>
        <n v="353"/>
        <n v="288"/>
        <n v="91"/>
        <n v="189"/>
        <n v="469"/>
        <n v="182"/>
        <n v="323"/>
        <n v="132"/>
        <n v="162"/>
        <n v="378"/>
        <n v="74"/>
        <n v="203"/>
        <n v="432"/>
        <n v="471"/>
        <n v="252"/>
        <n v="69"/>
        <n v="52"/>
        <n v="460"/>
        <n v="44"/>
        <n v="435"/>
        <n v="414"/>
        <n v="147"/>
        <n v="215"/>
        <n v="199"/>
        <n v="423"/>
        <n v="102"/>
        <n v="401"/>
        <n v="345"/>
        <n v="236"/>
        <n v="443"/>
        <n v="499"/>
        <n v="495"/>
        <n v="224"/>
        <n v="80"/>
        <n v="278"/>
        <n v="494"/>
        <n v="53"/>
        <n v="404"/>
        <n v="333"/>
        <n v="13"/>
        <n v="489"/>
        <n v="55"/>
        <n v="339"/>
        <n v="396"/>
        <n v="247"/>
        <n v="11"/>
        <n v="221"/>
        <n v="104"/>
        <n v="346"/>
        <n v="322"/>
        <n v="422"/>
        <n v="468"/>
        <n v="308"/>
        <n v="388"/>
        <n v="444"/>
        <n v="486"/>
        <n v="281"/>
        <n v="83"/>
        <n v="282"/>
        <n v="286"/>
        <n v="262"/>
        <n v="172"/>
        <n v="360"/>
        <n v="190"/>
        <n v="268"/>
        <n v="156"/>
        <n v="448"/>
        <n v="437"/>
        <n v="313"/>
        <n v="376"/>
        <n v="431"/>
        <n v="336"/>
        <n v="253"/>
        <n v="68"/>
        <n v="410"/>
        <n v="383"/>
        <n v="366"/>
        <n v="138"/>
        <n v="174"/>
        <n v="254"/>
        <n v="196"/>
        <n v="16"/>
        <n v="260"/>
        <n v="369"/>
        <n v="238"/>
        <n v="380"/>
        <n v="97"/>
        <n v="375"/>
        <n v="54"/>
        <n v="246"/>
        <n v="488"/>
        <n v="47"/>
        <n v="112"/>
        <n v="186"/>
        <n v="235"/>
        <n v="428"/>
        <n v="139"/>
        <n v="374"/>
        <n v="461"/>
        <n v="219"/>
        <n v="250"/>
        <n v="355"/>
        <n v="183"/>
        <n v="445"/>
        <n v="466"/>
        <n v="379"/>
        <n v="319"/>
        <n v="157"/>
        <n v="136"/>
        <n v="454"/>
        <n v="343"/>
        <n v="348"/>
        <n v="125"/>
        <n v="114"/>
        <n v="142"/>
        <n v="373"/>
        <n v="155"/>
        <n v="400"/>
        <n v="470"/>
        <n v="273"/>
        <n v="241"/>
        <n v="185"/>
        <n v="28"/>
        <n v="324"/>
        <n v="14"/>
        <n v="456"/>
        <n v="458"/>
        <n v="340"/>
        <n v="41"/>
        <n v="25"/>
        <n v="12"/>
        <n v="240"/>
        <n v="180"/>
        <n v="385"/>
        <n v="18"/>
        <n v="58"/>
        <n v="457"/>
        <n v="463"/>
        <n v="397"/>
        <n v="441"/>
        <n v="447"/>
        <n v="175"/>
        <n v="234"/>
        <n v="298"/>
        <n v="61"/>
        <n v="474"/>
        <n v="227"/>
        <n v="181"/>
        <n v="267"/>
        <n v="350"/>
        <n v="71"/>
        <n v="493"/>
        <n v="26"/>
        <n v="276"/>
      </sharedItems>
    </cacheField>
    <cacheField name="Discount %" numFmtId="9">
      <sharedItems containsSemiMixedTypes="0" containsString="0" containsNumber="1" minValue="0" maxValue="0.15"/>
    </cacheField>
    <cacheField name="Gross profit" numFmtId="164">
      <sharedItems containsSemiMixedTypes="0" containsString="0" containsNumber="1" minValue="1391.58" maxValue="26648.799999999999"/>
    </cacheField>
    <cacheField name="Operating Profit " numFmtId="164">
      <sharedItems containsSemiMixedTypes="0" containsString="0" containsNumber="1" minValue="233.51" maxValue="20532.480000000003"/>
    </cacheField>
    <cacheField name="Profit Margin %" numFmtId="9">
      <sharedItems containsSemiMixedTypes="0" containsString="0" containsNumber="1" minValue="3.101010763980051E-2" maxValue="0.45300046838407498"/>
    </cacheField>
    <cacheField name="Month" numFmtId="0">
      <sharedItems count="12">
        <s v="January"/>
        <s v="February"/>
        <s v="March"/>
        <s v="April"/>
        <s v="May"/>
        <s v="June"/>
        <s v="July"/>
        <s v="August"/>
        <s v="September"/>
        <s v="October"/>
        <s v="November"/>
        <s v="December"/>
      </sharedItems>
    </cacheField>
    <cacheField name="Quarter" numFmtId="0">
      <sharedItems/>
    </cacheField>
    <cacheField name="Year" numFmtId="0">
      <sharedItems/>
    </cacheField>
  </cacheFields>
  <extLst>
    <ext xmlns:x14="http://schemas.microsoft.com/office/spreadsheetml/2009/9/main" uri="{725AE2AE-9491-48be-B2B4-4EB974FC3084}">
      <x14:pivotCacheDefinition pivotCacheId="282797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n v="13355.75"/>
    <n v="3492.55"/>
    <x v="0"/>
    <n v="0.15"/>
    <n v="11558.25"/>
    <n v="8065.7"/>
    <n v="0.3237416713494421"/>
    <x v="0"/>
    <s v="Q1"/>
    <s v="2025"/>
  </r>
  <r>
    <x v="1"/>
    <x v="1"/>
    <x v="1"/>
    <x v="1"/>
    <x v="1"/>
    <x v="1"/>
    <n v="7645.14"/>
    <n v="1601.84"/>
    <x v="1"/>
    <n v="0.1"/>
    <n v="3323.8599999999997"/>
    <n v="1722.0199999999998"/>
    <n v="0.15698969824049591"/>
    <x v="0"/>
    <s v="Q1"/>
    <s v="2025"/>
  </r>
  <r>
    <x v="2"/>
    <x v="2"/>
    <x v="0"/>
    <x v="1"/>
    <x v="0"/>
    <x v="2"/>
    <n v="10337.700000000001"/>
    <n v="3789.49"/>
    <x v="2"/>
    <n v="0.05"/>
    <n v="9326.2999999999993"/>
    <n v="5536.8099999999995"/>
    <n v="0.28157089096826687"/>
    <x v="0"/>
    <s v="Q1"/>
    <s v="2025"/>
  </r>
  <r>
    <x v="3"/>
    <x v="0"/>
    <x v="1"/>
    <x v="1"/>
    <x v="1"/>
    <x v="3"/>
    <n v="9241.01"/>
    <n v="1440.29"/>
    <x v="3"/>
    <n v="0.05"/>
    <n v="4750.99"/>
    <n v="3310.7"/>
    <n v="0.23661377930245853"/>
    <x v="0"/>
    <s v="Q1"/>
    <s v="2025"/>
  </r>
  <r>
    <x v="4"/>
    <x v="2"/>
    <x v="0"/>
    <x v="2"/>
    <x v="2"/>
    <x v="4"/>
    <n v="13643.61"/>
    <n v="3208.3"/>
    <x v="4"/>
    <n v="0.05"/>
    <n v="8687.39"/>
    <n v="5479.0899999999992"/>
    <n v="0.24535802247996055"/>
    <x v="0"/>
    <s v="Q1"/>
    <s v="2025"/>
  </r>
  <r>
    <x v="5"/>
    <x v="0"/>
    <x v="1"/>
    <x v="1"/>
    <x v="2"/>
    <x v="5"/>
    <n v="9189.43"/>
    <n v="3059.48"/>
    <x v="5"/>
    <n v="0"/>
    <n v="5490.57"/>
    <n v="2431.0899999999997"/>
    <n v="0.16560558583106266"/>
    <x v="0"/>
    <s v="Q1"/>
    <s v="2025"/>
  </r>
  <r>
    <x v="6"/>
    <x v="3"/>
    <x v="1"/>
    <x v="3"/>
    <x v="1"/>
    <x v="6"/>
    <n v="15844.97"/>
    <n v="5270.05"/>
    <x v="6"/>
    <n v="0.1"/>
    <n v="9599.0300000000007"/>
    <n v="4328.9800000000005"/>
    <n v="0.17013755698789501"/>
    <x v="0"/>
    <s v="Q1"/>
    <s v="2025"/>
  </r>
  <r>
    <x v="6"/>
    <x v="0"/>
    <x v="1"/>
    <x v="3"/>
    <x v="0"/>
    <x v="7"/>
    <n v="6197.45"/>
    <n v="2599.1799999999998"/>
    <x v="7"/>
    <n v="0.15"/>
    <n v="7439.55"/>
    <n v="4840.3700000000008"/>
    <n v="0.35494390261787789"/>
    <x v="0"/>
    <s v="Q1"/>
    <s v="2025"/>
  </r>
  <r>
    <x v="6"/>
    <x v="1"/>
    <x v="0"/>
    <x v="3"/>
    <x v="1"/>
    <x v="8"/>
    <n v="14999.8"/>
    <n v="4837.55"/>
    <x v="8"/>
    <n v="0.1"/>
    <n v="17190.2"/>
    <n v="12352.650000000001"/>
    <n v="0.38374184529356947"/>
    <x v="0"/>
    <s v="Q1"/>
    <s v="2025"/>
  </r>
  <r>
    <x v="6"/>
    <x v="3"/>
    <x v="1"/>
    <x v="2"/>
    <x v="0"/>
    <x v="9"/>
    <n v="17654.93"/>
    <n v="3771.83"/>
    <x v="9"/>
    <n v="0.15"/>
    <n v="10996.07"/>
    <n v="7224.24"/>
    <n v="0.25214617290844998"/>
    <x v="0"/>
    <s v="Q1"/>
    <s v="2025"/>
  </r>
  <r>
    <x v="6"/>
    <x v="1"/>
    <x v="0"/>
    <x v="1"/>
    <x v="2"/>
    <x v="10"/>
    <n v="16292.71"/>
    <n v="2178"/>
    <x v="10"/>
    <n v="0.05"/>
    <n v="9604.2900000000009"/>
    <n v="7426.2900000000009"/>
    <n v="0.28676255936981121"/>
    <x v="0"/>
    <s v="Q1"/>
    <s v="2025"/>
  </r>
  <r>
    <x v="7"/>
    <x v="3"/>
    <x v="0"/>
    <x v="3"/>
    <x v="0"/>
    <x v="11"/>
    <n v="5743.69"/>
    <n v="1679.35"/>
    <x v="11"/>
    <n v="0.15"/>
    <n v="5396.31"/>
    <n v="3716.9600000000005"/>
    <n v="0.33365888689407547"/>
    <x v="0"/>
    <s v="Q1"/>
    <s v="2025"/>
  </r>
  <r>
    <x v="7"/>
    <x v="3"/>
    <x v="1"/>
    <x v="2"/>
    <x v="0"/>
    <x v="12"/>
    <n v="24375.82"/>
    <n v="3429.81"/>
    <x v="12"/>
    <n v="0.1"/>
    <n v="8891.18"/>
    <n v="5461.3700000000008"/>
    <n v="0.16416779390988068"/>
    <x v="0"/>
    <s v="Q1"/>
    <s v="2025"/>
  </r>
  <r>
    <x v="8"/>
    <x v="0"/>
    <x v="1"/>
    <x v="0"/>
    <x v="0"/>
    <x v="13"/>
    <n v="14642.58"/>
    <n v="2291.7399999999998"/>
    <x v="13"/>
    <n v="0.15"/>
    <n v="11030.42"/>
    <n v="8738.68"/>
    <n v="0.34038406107583846"/>
    <x v="0"/>
    <s v="Q1"/>
    <s v="2025"/>
  </r>
  <r>
    <x v="8"/>
    <x v="1"/>
    <x v="1"/>
    <x v="1"/>
    <x v="2"/>
    <x v="14"/>
    <n v="10819.82"/>
    <n v="2411.94"/>
    <x v="14"/>
    <n v="0.1"/>
    <n v="9350.18"/>
    <n v="6938.24"/>
    <n v="0.34398810114030737"/>
    <x v="0"/>
    <s v="Q1"/>
    <s v="2025"/>
  </r>
  <r>
    <x v="9"/>
    <x v="0"/>
    <x v="0"/>
    <x v="3"/>
    <x v="1"/>
    <x v="15"/>
    <n v="24046.639999999999"/>
    <n v="4229.33"/>
    <x v="15"/>
    <n v="0.05"/>
    <n v="18935.36"/>
    <n v="14706.03"/>
    <n v="0.34214392071099531"/>
    <x v="0"/>
    <s v="Q1"/>
    <s v="2025"/>
  </r>
  <r>
    <x v="9"/>
    <x v="3"/>
    <x v="1"/>
    <x v="0"/>
    <x v="1"/>
    <x v="16"/>
    <n v="23552.880000000001"/>
    <n v="5774.99"/>
    <x v="16"/>
    <n v="0.15"/>
    <n v="14352.119999999999"/>
    <n v="8577.1299999999992"/>
    <n v="0.22627964648463261"/>
    <x v="0"/>
    <s v="Q1"/>
    <s v="2025"/>
  </r>
  <r>
    <x v="10"/>
    <x v="2"/>
    <x v="1"/>
    <x v="0"/>
    <x v="1"/>
    <x v="17"/>
    <n v="7972.92"/>
    <n v="2158.5300000000002"/>
    <x v="17"/>
    <n v="0"/>
    <n v="5300.08"/>
    <n v="3141.5499999999997"/>
    <n v="0.23668725985082495"/>
    <x v="0"/>
    <s v="Q1"/>
    <s v="2025"/>
  </r>
  <r>
    <x v="11"/>
    <x v="3"/>
    <x v="1"/>
    <x v="1"/>
    <x v="2"/>
    <x v="18"/>
    <n v="22331.71"/>
    <n v="5480.65"/>
    <x v="11"/>
    <n v="0"/>
    <n v="10981.29"/>
    <n v="5500.6400000000012"/>
    <n v="0.16511992315312343"/>
    <x v="0"/>
    <s v="Q1"/>
    <s v="2025"/>
  </r>
  <r>
    <x v="11"/>
    <x v="3"/>
    <x v="0"/>
    <x v="0"/>
    <x v="1"/>
    <x v="19"/>
    <n v="9742.75"/>
    <n v="2821.73"/>
    <x v="18"/>
    <n v="0.05"/>
    <n v="6738.25"/>
    <n v="3916.52"/>
    <n v="0.23763849280990232"/>
    <x v="0"/>
    <s v="Q1"/>
    <s v="2025"/>
  </r>
  <r>
    <x v="11"/>
    <x v="1"/>
    <x v="1"/>
    <x v="2"/>
    <x v="1"/>
    <x v="20"/>
    <n v="13416.98"/>
    <n v="4201.2700000000004"/>
    <x v="19"/>
    <n v="0"/>
    <n v="10625.02"/>
    <n v="6423.75"/>
    <n v="0.26718866982780137"/>
    <x v="0"/>
    <s v="Q1"/>
    <s v="2025"/>
  </r>
  <r>
    <x v="12"/>
    <x v="2"/>
    <x v="0"/>
    <x v="0"/>
    <x v="0"/>
    <x v="21"/>
    <n v="15303.45"/>
    <n v="7018.64"/>
    <x v="20"/>
    <n v="0.05"/>
    <n v="18284.55"/>
    <n v="11265.91"/>
    <n v="0.33541473145170891"/>
    <x v="0"/>
    <s v="Q1"/>
    <s v="2025"/>
  </r>
  <r>
    <x v="13"/>
    <x v="0"/>
    <x v="0"/>
    <x v="2"/>
    <x v="2"/>
    <x v="22"/>
    <n v="15126.69"/>
    <n v="7037.09"/>
    <x v="21"/>
    <n v="0.02"/>
    <n v="18450.309999999998"/>
    <n v="11413.219999999998"/>
    <n v="0.33991184441730937"/>
    <x v="0"/>
    <s v="Q1"/>
    <s v="2025"/>
  </r>
  <r>
    <x v="13"/>
    <x v="2"/>
    <x v="1"/>
    <x v="2"/>
    <x v="2"/>
    <x v="23"/>
    <n v="14505.27"/>
    <n v="3081.14"/>
    <x v="22"/>
    <n v="0.05"/>
    <n v="5663.73"/>
    <n v="2582.5899999999997"/>
    <n v="0.12804749863652137"/>
    <x v="0"/>
    <s v="Q1"/>
    <s v="2025"/>
  </r>
  <r>
    <x v="14"/>
    <x v="2"/>
    <x v="1"/>
    <x v="1"/>
    <x v="1"/>
    <x v="24"/>
    <n v="20084.53"/>
    <n v="7500.61"/>
    <x v="23"/>
    <n v="0"/>
    <n v="15832.470000000001"/>
    <n v="8331.86"/>
    <n v="0.23197538769941811"/>
    <x v="0"/>
    <s v="Q1"/>
    <s v="2025"/>
  </r>
  <r>
    <x v="14"/>
    <x v="0"/>
    <x v="1"/>
    <x v="0"/>
    <x v="1"/>
    <x v="25"/>
    <n v="14720.45"/>
    <n v="4538.41"/>
    <x v="24"/>
    <n v="0.05"/>
    <n v="16554.55"/>
    <n v="12016.14"/>
    <n v="0.3842091127098321"/>
    <x v="0"/>
    <s v="Q1"/>
    <s v="2025"/>
  </r>
  <r>
    <x v="14"/>
    <x v="0"/>
    <x v="0"/>
    <x v="3"/>
    <x v="0"/>
    <x v="26"/>
    <n v="5666.91"/>
    <n v="954.69"/>
    <x v="25"/>
    <n v="0.15"/>
    <n v="1948.0900000000001"/>
    <n v="993.40000000000009"/>
    <n v="0.13045305318450429"/>
    <x v="0"/>
    <s v="Q1"/>
    <s v="2025"/>
  </r>
  <r>
    <x v="15"/>
    <x v="1"/>
    <x v="0"/>
    <x v="2"/>
    <x v="2"/>
    <x v="27"/>
    <n v="11879.5"/>
    <n v="3942.57"/>
    <x v="26"/>
    <n v="0"/>
    <n v="8746.5"/>
    <n v="4803.93"/>
    <n v="0.23290652574420637"/>
    <x v="0"/>
    <s v="Q1"/>
    <s v="2025"/>
  </r>
  <r>
    <x v="15"/>
    <x v="3"/>
    <x v="1"/>
    <x v="3"/>
    <x v="2"/>
    <x v="28"/>
    <n v="3108.4"/>
    <n v="1072.53"/>
    <x v="27"/>
    <n v="0"/>
    <n v="2309.6"/>
    <n v="1237.07"/>
    <n v="0.22832595053525284"/>
    <x v="0"/>
    <s v="Q1"/>
    <s v="2025"/>
  </r>
  <r>
    <x v="15"/>
    <x v="3"/>
    <x v="1"/>
    <x v="3"/>
    <x v="1"/>
    <x v="29"/>
    <n v="30141.32"/>
    <n v="8145.35"/>
    <x v="28"/>
    <n v="0.15"/>
    <n v="11114.68"/>
    <n v="2969.33"/>
    <n v="7.1973288733759938E-2"/>
    <x v="0"/>
    <s v="Q1"/>
    <s v="2025"/>
  </r>
  <r>
    <x v="16"/>
    <x v="3"/>
    <x v="1"/>
    <x v="1"/>
    <x v="2"/>
    <x v="30"/>
    <n v="11069.55"/>
    <n v="2965.53"/>
    <x v="29"/>
    <n v="0.02"/>
    <n v="4606.4500000000007"/>
    <n v="1640.9200000000005"/>
    <n v="0.10467721357489158"/>
    <x v="0"/>
    <s v="Q1"/>
    <s v="2025"/>
  </r>
  <r>
    <x v="17"/>
    <x v="2"/>
    <x v="0"/>
    <x v="1"/>
    <x v="2"/>
    <x v="31"/>
    <n v="8949.16"/>
    <n v="2044.65"/>
    <x v="30"/>
    <n v="0"/>
    <n v="4357.84"/>
    <n v="2313.19"/>
    <n v="0.17383256932441574"/>
    <x v="0"/>
    <s v="Q1"/>
    <s v="2025"/>
  </r>
  <r>
    <x v="18"/>
    <x v="3"/>
    <x v="1"/>
    <x v="0"/>
    <x v="2"/>
    <x v="32"/>
    <n v="29112.75"/>
    <n v="9883.31"/>
    <x v="31"/>
    <n v="0.1"/>
    <n v="17462.25"/>
    <n v="7578.9400000000005"/>
    <n v="0.16272549651100376"/>
    <x v="0"/>
    <s v="Q1"/>
    <s v="2025"/>
  </r>
  <r>
    <x v="19"/>
    <x v="3"/>
    <x v="0"/>
    <x v="1"/>
    <x v="1"/>
    <x v="33"/>
    <n v="7953.54"/>
    <n v="1610.3"/>
    <x v="32"/>
    <n v="0.05"/>
    <n v="5183.46"/>
    <n v="3573.16"/>
    <n v="0.27199208342848441"/>
    <x v="0"/>
    <s v="Q1"/>
    <s v="2025"/>
  </r>
  <r>
    <x v="20"/>
    <x v="0"/>
    <x v="0"/>
    <x v="0"/>
    <x v="2"/>
    <x v="34"/>
    <n v="9819.32"/>
    <n v="1859.12"/>
    <x v="33"/>
    <n v="0.02"/>
    <n v="11530.68"/>
    <n v="9671.5600000000013"/>
    <n v="0.45300046838407498"/>
    <x v="0"/>
    <s v="Q1"/>
    <s v="2025"/>
  </r>
  <r>
    <x v="21"/>
    <x v="2"/>
    <x v="0"/>
    <x v="2"/>
    <x v="0"/>
    <x v="35"/>
    <n v="30473.06"/>
    <n v="8428.09"/>
    <x v="34"/>
    <n v="0.02"/>
    <n v="11011.939999999999"/>
    <n v="2583.8499999999985"/>
    <n v="6.2283958057129045E-2"/>
    <x v="1"/>
    <s v="Q1"/>
    <s v="2025"/>
  </r>
  <r>
    <x v="22"/>
    <x v="1"/>
    <x v="1"/>
    <x v="1"/>
    <x v="2"/>
    <x v="36"/>
    <n v="17056.5"/>
    <n v="6631.11"/>
    <x v="35"/>
    <n v="0.05"/>
    <n v="13159.5"/>
    <n v="6528.39"/>
    <n v="0.2160573868149325"/>
    <x v="1"/>
    <s v="Q1"/>
    <s v="2025"/>
  </r>
  <r>
    <x v="23"/>
    <x v="1"/>
    <x v="0"/>
    <x v="2"/>
    <x v="0"/>
    <x v="37"/>
    <n v="20819.11"/>
    <n v="4373.29"/>
    <x v="36"/>
    <n v="0.15"/>
    <n v="14911.89"/>
    <n v="10538.599999999999"/>
    <n v="0.29494276678514453"/>
    <x v="1"/>
    <s v="Q1"/>
    <s v="2025"/>
  </r>
  <r>
    <x v="23"/>
    <x v="0"/>
    <x v="0"/>
    <x v="1"/>
    <x v="2"/>
    <x v="38"/>
    <n v="19252.88"/>
    <n v="6592.73"/>
    <x v="37"/>
    <n v="0.02"/>
    <n v="10825.119999999999"/>
    <n v="4232.3899999999994"/>
    <n v="0.14071381075869405"/>
    <x v="1"/>
    <s v="Q1"/>
    <s v="2025"/>
  </r>
  <r>
    <x v="24"/>
    <x v="0"/>
    <x v="1"/>
    <x v="1"/>
    <x v="2"/>
    <x v="39"/>
    <n v="11783.07"/>
    <n v="2144.69"/>
    <x v="38"/>
    <n v="0.15"/>
    <n v="9225.93"/>
    <n v="7081.24"/>
    <n v="0.33705745156837547"/>
    <x v="1"/>
    <s v="Q1"/>
    <s v="2025"/>
  </r>
  <r>
    <x v="25"/>
    <x v="0"/>
    <x v="0"/>
    <x v="2"/>
    <x v="0"/>
    <x v="40"/>
    <n v="4452.01"/>
    <n v="1096.27"/>
    <x v="39"/>
    <n v="0.15"/>
    <n v="4455.99"/>
    <n v="3359.72"/>
    <n v="0.37715761113605745"/>
    <x v="1"/>
    <s v="Q1"/>
    <s v="2025"/>
  </r>
  <r>
    <x v="25"/>
    <x v="0"/>
    <x v="0"/>
    <x v="1"/>
    <x v="1"/>
    <x v="41"/>
    <n v="11300.68"/>
    <n v="3646.87"/>
    <x v="40"/>
    <n v="0"/>
    <n v="8703.32"/>
    <n v="5056.45"/>
    <n v="0.25277194561087779"/>
    <x v="1"/>
    <s v="Q1"/>
    <s v="2025"/>
  </r>
  <r>
    <x v="26"/>
    <x v="2"/>
    <x v="0"/>
    <x v="3"/>
    <x v="1"/>
    <x v="42"/>
    <n v="20013.18"/>
    <n v="5859.95"/>
    <x v="41"/>
    <n v="0.1"/>
    <n v="14832.82"/>
    <n v="8972.869999999999"/>
    <n v="0.25750071744246106"/>
    <x v="1"/>
    <s v="Q1"/>
    <s v="2025"/>
  </r>
  <r>
    <x v="26"/>
    <x v="0"/>
    <x v="1"/>
    <x v="3"/>
    <x v="1"/>
    <x v="43"/>
    <n v="27351.67"/>
    <n v="3746.54"/>
    <x v="42"/>
    <n v="0.15"/>
    <n v="15463.330000000002"/>
    <n v="11716.79"/>
    <n v="0.27366086651874344"/>
    <x v="1"/>
    <s v="Q1"/>
    <s v="2025"/>
  </r>
  <r>
    <x v="26"/>
    <x v="3"/>
    <x v="1"/>
    <x v="0"/>
    <x v="2"/>
    <x v="44"/>
    <n v="20339.89"/>
    <n v="5257.17"/>
    <x v="43"/>
    <n v="0.15"/>
    <n v="14149.11"/>
    <n v="8891.94"/>
    <n v="0.25781959465336773"/>
    <x v="1"/>
    <s v="Q1"/>
    <s v="2025"/>
  </r>
  <r>
    <x v="26"/>
    <x v="2"/>
    <x v="0"/>
    <x v="1"/>
    <x v="1"/>
    <x v="45"/>
    <n v="5503.34"/>
    <n v="1382.08"/>
    <x v="44"/>
    <n v="0.02"/>
    <n v="4872.66"/>
    <n v="3490.58"/>
    <n v="0.33640902081727064"/>
    <x v="1"/>
    <s v="Q1"/>
    <s v="2025"/>
  </r>
  <r>
    <x v="27"/>
    <x v="1"/>
    <x v="1"/>
    <x v="0"/>
    <x v="0"/>
    <x v="46"/>
    <n v="8974.4"/>
    <n v="3434.11"/>
    <x v="45"/>
    <n v="0.02"/>
    <n v="9309.6"/>
    <n v="5875.49"/>
    <n v="0.32134598556114635"/>
    <x v="1"/>
    <s v="Q1"/>
    <s v="2025"/>
  </r>
  <r>
    <x v="28"/>
    <x v="1"/>
    <x v="1"/>
    <x v="3"/>
    <x v="1"/>
    <x v="47"/>
    <n v="12345.26"/>
    <n v="3013.52"/>
    <x v="46"/>
    <n v="0.15"/>
    <n v="11379.74"/>
    <n v="8366.2199999999993"/>
    <n v="0.35263308746048472"/>
    <x v="1"/>
    <s v="Q1"/>
    <s v="2025"/>
  </r>
  <r>
    <x v="29"/>
    <x v="0"/>
    <x v="1"/>
    <x v="2"/>
    <x v="1"/>
    <x v="48"/>
    <n v="21726.42"/>
    <n v="4248.16"/>
    <x v="47"/>
    <n v="0.02"/>
    <n v="7721.5800000000017"/>
    <n v="3473.4200000000019"/>
    <n v="0.11795096441184467"/>
    <x v="1"/>
    <s v="Q1"/>
    <s v="2025"/>
  </r>
  <r>
    <x v="29"/>
    <x v="3"/>
    <x v="1"/>
    <x v="1"/>
    <x v="2"/>
    <x v="49"/>
    <n v="25476.28"/>
    <n v="4856.7299999999996"/>
    <x v="48"/>
    <n v="0.1"/>
    <n v="12342.720000000001"/>
    <n v="7485.9900000000016"/>
    <n v="0.19794256855019968"/>
    <x v="1"/>
    <s v="Q1"/>
    <s v="2025"/>
  </r>
  <r>
    <x v="30"/>
    <x v="2"/>
    <x v="0"/>
    <x v="0"/>
    <x v="0"/>
    <x v="50"/>
    <n v="7981.81"/>
    <n v="2405.11"/>
    <x v="49"/>
    <n v="0"/>
    <n v="7310.19"/>
    <n v="4905.08"/>
    <n v="0.32076118231755163"/>
    <x v="1"/>
    <s v="Q1"/>
    <s v="2025"/>
  </r>
  <r>
    <x v="30"/>
    <x v="2"/>
    <x v="1"/>
    <x v="2"/>
    <x v="1"/>
    <x v="51"/>
    <n v="18723.7"/>
    <n v="5314.57"/>
    <x v="50"/>
    <n v="0.05"/>
    <n v="7808.2999999999993"/>
    <n v="2493.7299999999996"/>
    <n v="9.3989522086536992E-2"/>
    <x v="1"/>
    <s v="Q1"/>
    <s v="2025"/>
  </r>
  <r>
    <x v="30"/>
    <x v="2"/>
    <x v="0"/>
    <x v="3"/>
    <x v="2"/>
    <x v="52"/>
    <n v="13309.55"/>
    <n v="3181.91"/>
    <x v="51"/>
    <n v="0.1"/>
    <n v="9522.4500000000007"/>
    <n v="6340.5400000000009"/>
    <n v="0.27770409950946046"/>
    <x v="1"/>
    <s v="Q1"/>
    <s v="2025"/>
  </r>
  <r>
    <x v="31"/>
    <x v="1"/>
    <x v="1"/>
    <x v="0"/>
    <x v="0"/>
    <x v="53"/>
    <n v="8246.67"/>
    <n v="3205.75"/>
    <x v="52"/>
    <n v="0.1"/>
    <n v="7259.33"/>
    <n v="4053.58"/>
    <n v="0.26142009544692374"/>
    <x v="1"/>
    <s v="Q1"/>
    <s v="2025"/>
  </r>
  <r>
    <x v="31"/>
    <x v="0"/>
    <x v="1"/>
    <x v="1"/>
    <x v="1"/>
    <x v="54"/>
    <n v="19313.189999999999"/>
    <n v="7844.9"/>
    <x v="53"/>
    <n v="0"/>
    <n v="22739.81"/>
    <n v="14894.910000000002"/>
    <n v="0.35419375549901316"/>
    <x v="1"/>
    <s v="Q1"/>
    <s v="2025"/>
  </r>
  <r>
    <x v="32"/>
    <x v="0"/>
    <x v="0"/>
    <x v="3"/>
    <x v="2"/>
    <x v="55"/>
    <n v="8816.58"/>
    <n v="2297.08"/>
    <x v="54"/>
    <n v="0.05"/>
    <n v="3789.42"/>
    <n v="1492.3400000000001"/>
    <n v="0.11838330953514201"/>
    <x v="1"/>
    <s v="Q1"/>
    <s v="2025"/>
  </r>
  <r>
    <x v="32"/>
    <x v="1"/>
    <x v="0"/>
    <x v="3"/>
    <x v="2"/>
    <x v="56"/>
    <n v="13098.41"/>
    <n v="3487.16"/>
    <x v="55"/>
    <n v="0.05"/>
    <n v="8164.59"/>
    <n v="4677.43"/>
    <n v="0.21997977707755256"/>
    <x v="1"/>
    <s v="Q1"/>
    <s v="2025"/>
  </r>
  <r>
    <x v="33"/>
    <x v="1"/>
    <x v="1"/>
    <x v="3"/>
    <x v="1"/>
    <x v="57"/>
    <n v="16943.3"/>
    <n v="4071.06"/>
    <x v="56"/>
    <n v="0.02"/>
    <n v="7359.7000000000007"/>
    <n v="3288.6400000000008"/>
    <n v="0.1353182734641814"/>
    <x v="1"/>
    <s v="Q1"/>
    <s v="2025"/>
  </r>
  <r>
    <x v="33"/>
    <x v="3"/>
    <x v="1"/>
    <x v="2"/>
    <x v="1"/>
    <x v="58"/>
    <n v="15786.51"/>
    <n v="2987.81"/>
    <x v="57"/>
    <n v="0.1"/>
    <n v="7296.49"/>
    <n v="4308.68"/>
    <n v="0.18666031278430015"/>
    <x v="1"/>
    <s v="Q1"/>
    <s v="2025"/>
  </r>
  <r>
    <x v="34"/>
    <x v="0"/>
    <x v="1"/>
    <x v="2"/>
    <x v="0"/>
    <x v="59"/>
    <n v="18512.86"/>
    <n v="6626.11"/>
    <x v="58"/>
    <n v="0.15"/>
    <n v="12258.14"/>
    <n v="5632.03"/>
    <n v="0.18303045074908192"/>
    <x v="1"/>
    <s v="Q1"/>
    <s v="2025"/>
  </r>
  <r>
    <x v="34"/>
    <x v="1"/>
    <x v="1"/>
    <x v="2"/>
    <x v="1"/>
    <x v="60"/>
    <n v="3913.62"/>
    <n v="759.68"/>
    <x v="59"/>
    <n v="0.05"/>
    <n v="1426.38"/>
    <n v="666.70000000000016"/>
    <n v="0.12485018726591764"/>
    <x v="1"/>
    <s v="Q1"/>
    <s v="2025"/>
  </r>
  <r>
    <x v="34"/>
    <x v="0"/>
    <x v="1"/>
    <x v="2"/>
    <x v="0"/>
    <x v="61"/>
    <n v="15748.64"/>
    <n v="2881.13"/>
    <x v="60"/>
    <n v="0.05"/>
    <n v="5518.3600000000006"/>
    <n v="2637.2300000000005"/>
    <n v="0.12400573658720085"/>
    <x v="1"/>
    <s v="Q1"/>
    <s v="2025"/>
  </r>
  <r>
    <x v="35"/>
    <x v="0"/>
    <x v="1"/>
    <x v="0"/>
    <x v="0"/>
    <x v="62"/>
    <n v="20404.37"/>
    <n v="4645.34"/>
    <x v="61"/>
    <n v="0.15"/>
    <n v="9016.630000000001"/>
    <n v="4371.2900000000009"/>
    <n v="0.14857720675707831"/>
    <x v="1"/>
    <s v="Q1"/>
    <s v="2025"/>
  </r>
  <r>
    <x v="35"/>
    <x v="1"/>
    <x v="0"/>
    <x v="2"/>
    <x v="0"/>
    <x v="63"/>
    <n v="4686.07"/>
    <n v="1295.17"/>
    <x v="62"/>
    <n v="0.02"/>
    <n v="3565.9300000000003"/>
    <n v="2270.7600000000002"/>
    <n v="0.27517692680562289"/>
    <x v="1"/>
    <s v="Q1"/>
    <s v="2025"/>
  </r>
  <r>
    <x v="35"/>
    <x v="0"/>
    <x v="1"/>
    <x v="2"/>
    <x v="1"/>
    <x v="64"/>
    <n v="24887.17"/>
    <n v="6157.18"/>
    <x v="63"/>
    <n v="0.05"/>
    <n v="23294.83"/>
    <n v="17137.650000000001"/>
    <n v="0.35568573326138397"/>
    <x v="1"/>
    <s v="Q1"/>
    <s v="2025"/>
  </r>
  <r>
    <x v="36"/>
    <x v="0"/>
    <x v="1"/>
    <x v="0"/>
    <x v="0"/>
    <x v="65"/>
    <n v="23527.53"/>
    <n v="7838.89"/>
    <x v="64"/>
    <n v="0"/>
    <n v="13541.470000000001"/>
    <n v="5702.5800000000008"/>
    <n v="0.15383689875637327"/>
    <x v="1"/>
    <s v="Q1"/>
    <s v="2025"/>
  </r>
  <r>
    <x v="36"/>
    <x v="3"/>
    <x v="0"/>
    <x v="1"/>
    <x v="0"/>
    <x v="66"/>
    <n v="11342.48"/>
    <n v="4052.19"/>
    <x v="65"/>
    <n v="0.15"/>
    <n v="10613.52"/>
    <n v="6561.33"/>
    <n v="0.29883995263253782"/>
    <x v="1"/>
    <s v="Q1"/>
    <s v="2025"/>
  </r>
  <r>
    <x v="36"/>
    <x v="3"/>
    <x v="1"/>
    <x v="2"/>
    <x v="0"/>
    <x v="67"/>
    <n v="11976.12"/>
    <n v="2658.38"/>
    <x v="66"/>
    <n v="0.05"/>
    <n v="5960.8799999999992"/>
    <n v="3302.4999999999991"/>
    <n v="0.1841166304287227"/>
    <x v="1"/>
    <s v="Q1"/>
    <s v="2025"/>
  </r>
  <r>
    <x v="37"/>
    <x v="1"/>
    <x v="0"/>
    <x v="3"/>
    <x v="2"/>
    <x v="68"/>
    <n v="26072.59"/>
    <n v="7536.2"/>
    <x v="67"/>
    <n v="0.15"/>
    <n v="12198.41"/>
    <n v="4662.21"/>
    <n v="0.1218209610409971"/>
    <x v="1"/>
    <s v="Q1"/>
    <s v="2025"/>
  </r>
  <r>
    <x v="37"/>
    <x v="2"/>
    <x v="1"/>
    <x v="2"/>
    <x v="1"/>
    <x v="69"/>
    <n v="14004.66"/>
    <n v="3133.69"/>
    <x v="68"/>
    <n v="0.05"/>
    <n v="7765.34"/>
    <n v="4631.6499999999996"/>
    <n v="0.21275378961874136"/>
    <x v="1"/>
    <s v="Q1"/>
    <s v="2025"/>
  </r>
  <r>
    <x v="38"/>
    <x v="3"/>
    <x v="1"/>
    <x v="3"/>
    <x v="1"/>
    <x v="70"/>
    <n v="19274.73"/>
    <n v="5742.08"/>
    <x v="69"/>
    <n v="0.15"/>
    <n v="8903.27"/>
    <n v="3161.1900000000005"/>
    <n v="0.11218645752005112"/>
    <x v="1"/>
    <s v="Q1"/>
    <s v="2025"/>
  </r>
  <r>
    <x v="38"/>
    <x v="3"/>
    <x v="0"/>
    <x v="0"/>
    <x v="2"/>
    <x v="71"/>
    <n v="7689.56"/>
    <n v="1522.32"/>
    <x v="70"/>
    <n v="0"/>
    <n v="6907.44"/>
    <n v="5385.12"/>
    <n v="0.36891964102212782"/>
    <x v="1"/>
    <s v="Q1"/>
    <s v="2025"/>
  </r>
  <r>
    <x v="38"/>
    <x v="0"/>
    <x v="0"/>
    <x v="1"/>
    <x v="2"/>
    <x v="72"/>
    <n v="20337.14"/>
    <n v="5048.76"/>
    <x v="26"/>
    <n v="0"/>
    <n v="19847.86"/>
    <n v="14799.1"/>
    <n v="0.368274231678487"/>
    <x v="1"/>
    <s v="Q1"/>
    <s v="2025"/>
  </r>
  <r>
    <x v="39"/>
    <x v="3"/>
    <x v="0"/>
    <x v="1"/>
    <x v="2"/>
    <x v="73"/>
    <n v="7304.89"/>
    <n v="2822.92"/>
    <x v="71"/>
    <n v="0.15"/>
    <n v="6495.11"/>
    <n v="3672.1899999999996"/>
    <n v="0.26610072463768114"/>
    <x v="1"/>
    <s v="Q1"/>
    <s v="2025"/>
  </r>
  <r>
    <x v="39"/>
    <x v="1"/>
    <x v="0"/>
    <x v="0"/>
    <x v="2"/>
    <x v="74"/>
    <n v="5449.17"/>
    <n v="2014.91"/>
    <x v="32"/>
    <n v="0"/>
    <n v="4412.83"/>
    <n v="2397.92"/>
    <n v="0.24314743459744476"/>
    <x v="1"/>
    <s v="Q1"/>
    <s v="2025"/>
  </r>
  <r>
    <x v="40"/>
    <x v="1"/>
    <x v="0"/>
    <x v="1"/>
    <x v="1"/>
    <x v="75"/>
    <n v="11595.79"/>
    <n v="2676.07"/>
    <x v="68"/>
    <n v="0.05"/>
    <n v="8949.2099999999991"/>
    <n v="6273.1399999999994"/>
    <n v="0.30533657824288146"/>
    <x v="1"/>
    <s v="Q1"/>
    <s v="2025"/>
  </r>
  <r>
    <x v="40"/>
    <x v="0"/>
    <x v="0"/>
    <x v="3"/>
    <x v="0"/>
    <x v="76"/>
    <n v="12162.82"/>
    <n v="2849.84"/>
    <x v="72"/>
    <n v="0.1"/>
    <n v="8782.18"/>
    <n v="5932.34"/>
    <n v="0.28323418476963474"/>
    <x v="1"/>
    <s v="Q1"/>
    <s v="2025"/>
  </r>
  <r>
    <x v="40"/>
    <x v="0"/>
    <x v="0"/>
    <x v="1"/>
    <x v="0"/>
    <x v="77"/>
    <n v="6869.95"/>
    <n v="1286.58"/>
    <x v="73"/>
    <n v="0.15"/>
    <n v="4442.05"/>
    <n v="3155.4700000000003"/>
    <n v="0.27894890381895332"/>
    <x v="1"/>
    <s v="Q1"/>
    <s v="2025"/>
  </r>
  <r>
    <x v="40"/>
    <x v="0"/>
    <x v="1"/>
    <x v="1"/>
    <x v="2"/>
    <x v="78"/>
    <n v="3755.72"/>
    <n v="581.92999999999995"/>
    <x v="74"/>
    <n v="0.02"/>
    <n v="2900.28"/>
    <n v="2318.3500000000004"/>
    <n v="0.34830979567307696"/>
    <x v="1"/>
    <s v="Q1"/>
    <s v="2025"/>
  </r>
  <r>
    <x v="40"/>
    <x v="2"/>
    <x v="0"/>
    <x v="1"/>
    <x v="2"/>
    <x v="79"/>
    <n v="8749.9500000000007"/>
    <n v="2452.44"/>
    <x v="75"/>
    <n v="0.15"/>
    <n v="6393.0499999999993"/>
    <n v="3940.6099999999992"/>
    <n v="0.2602265072971009"/>
    <x v="1"/>
    <s v="Q1"/>
    <s v="2025"/>
  </r>
  <r>
    <x v="40"/>
    <x v="1"/>
    <x v="1"/>
    <x v="0"/>
    <x v="0"/>
    <x v="80"/>
    <n v="9334.18"/>
    <n v="2244.83"/>
    <x v="76"/>
    <n v="0.1"/>
    <n v="3521.8199999999997"/>
    <n v="1276.9899999999998"/>
    <n v="9.9330273802115732E-2"/>
    <x v="1"/>
    <s v="Q1"/>
    <s v="2025"/>
  </r>
  <r>
    <x v="41"/>
    <x v="2"/>
    <x v="0"/>
    <x v="1"/>
    <x v="1"/>
    <x v="81"/>
    <n v="21399.32"/>
    <n v="6020.11"/>
    <x v="77"/>
    <n v="0.02"/>
    <n v="8670.68"/>
    <n v="2650.5700000000006"/>
    <n v="8.8146657798470252E-2"/>
    <x v="1"/>
    <s v="Q1"/>
    <s v="2025"/>
  </r>
  <r>
    <x v="42"/>
    <x v="1"/>
    <x v="1"/>
    <x v="2"/>
    <x v="1"/>
    <x v="82"/>
    <n v="20543.59"/>
    <n v="5654.92"/>
    <x v="78"/>
    <n v="0.02"/>
    <n v="8244.41"/>
    <n v="2589.4899999999998"/>
    <n v="8.9950326524940935E-2"/>
    <x v="1"/>
    <s v="Q1"/>
    <s v="2025"/>
  </r>
  <r>
    <x v="42"/>
    <x v="3"/>
    <x v="1"/>
    <x v="1"/>
    <x v="2"/>
    <x v="83"/>
    <n v="6320.53"/>
    <n v="1867.34"/>
    <x v="79"/>
    <n v="0.15"/>
    <n v="2726.4700000000003"/>
    <n v="859.13000000000034"/>
    <n v="9.4962971150657716E-2"/>
    <x v="1"/>
    <s v="Q1"/>
    <s v="2025"/>
  </r>
  <r>
    <x v="42"/>
    <x v="3"/>
    <x v="1"/>
    <x v="2"/>
    <x v="1"/>
    <x v="84"/>
    <n v="4926.8100000000004"/>
    <n v="986.25"/>
    <x v="80"/>
    <n v="0"/>
    <n v="2184.1899999999996"/>
    <n v="1197.9399999999996"/>
    <n v="0.16846294473351139"/>
    <x v="1"/>
    <s v="Q1"/>
    <s v="2025"/>
  </r>
  <r>
    <x v="43"/>
    <x v="2"/>
    <x v="0"/>
    <x v="2"/>
    <x v="1"/>
    <x v="85"/>
    <n v="15991.84"/>
    <n v="3304.98"/>
    <x v="81"/>
    <n v="0.15"/>
    <n v="11629.16"/>
    <n v="8324.18"/>
    <n v="0.30137142029615149"/>
    <x v="1"/>
    <s v="Q1"/>
    <s v="2025"/>
  </r>
  <r>
    <x v="43"/>
    <x v="2"/>
    <x v="0"/>
    <x v="2"/>
    <x v="0"/>
    <x v="86"/>
    <n v="14392.17"/>
    <n v="3957.75"/>
    <x v="82"/>
    <n v="0.15"/>
    <n v="17151.830000000002"/>
    <n v="13194.080000000002"/>
    <n v="0.4182754248034492"/>
    <x v="1"/>
    <s v="Q1"/>
    <s v="2025"/>
  </r>
  <r>
    <x v="43"/>
    <x v="1"/>
    <x v="0"/>
    <x v="1"/>
    <x v="2"/>
    <x v="87"/>
    <n v="4492.37"/>
    <n v="1003.8"/>
    <x v="83"/>
    <n v="0.15"/>
    <n v="2205.63"/>
    <n v="1201.8300000000002"/>
    <n v="0.17943117348462229"/>
    <x v="1"/>
    <s v="Q1"/>
    <s v="2025"/>
  </r>
  <r>
    <x v="43"/>
    <x v="3"/>
    <x v="0"/>
    <x v="0"/>
    <x v="0"/>
    <x v="88"/>
    <n v="7170.29"/>
    <n v="1977.17"/>
    <x v="84"/>
    <n v="0.05"/>
    <n v="4793.71"/>
    <n v="2816.54"/>
    <n v="0.23541792042795051"/>
    <x v="1"/>
    <s v="Q1"/>
    <s v="2025"/>
  </r>
  <r>
    <x v="43"/>
    <x v="0"/>
    <x v="0"/>
    <x v="0"/>
    <x v="1"/>
    <x v="89"/>
    <n v="15961.08"/>
    <n v="5492.93"/>
    <x v="85"/>
    <n v="0.15"/>
    <n v="14326.92"/>
    <n v="8833.99"/>
    <n v="0.29166633650290541"/>
    <x v="1"/>
    <s v="Q1"/>
    <s v="2025"/>
  </r>
  <r>
    <x v="44"/>
    <x v="2"/>
    <x v="1"/>
    <x v="1"/>
    <x v="0"/>
    <x v="90"/>
    <n v="26355.56"/>
    <n v="6454.43"/>
    <x v="25"/>
    <n v="0.02"/>
    <n v="10030.439999999999"/>
    <n v="3576.0099999999984"/>
    <n v="9.8279832902764749E-2"/>
    <x v="2"/>
    <s v="Q1"/>
    <s v="2025"/>
  </r>
  <r>
    <x v="45"/>
    <x v="2"/>
    <x v="0"/>
    <x v="1"/>
    <x v="1"/>
    <x v="91"/>
    <n v="22177.279999999999"/>
    <n v="6910.29"/>
    <x v="73"/>
    <n v="0"/>
    <n v="20156.72"/>
    <n v="13246.43"/>
    <n v="0.31290286767137526"/>
    <x v="2"/>
    <s v="Q1"/>
    <s v="2025"/>
  </r>
  <r>
    <x v="45"/>
    <x v="2"/>
    <x v="0"/>
    <x v="1"/>
    <x v="1"/>
    <x v="92"/>
    <n v="29497.29"/>
    <n v="7085.76"/>
    <x v="86"/>
    <n v="0.02"/>
    <n v="10620.71"/>
    <n v="3534.9499999999989"/>
    <n v="8.8113814247968464E-2"/>
    <x v="2"/>
    <s v="Q1"/>
    <s v="2025"/>
  </r>
  <r>
    <x v="45"/>
    <x v="3"/>
    <x v="0"/>
    <x v="2"/>
    <x v="0"/>
    <x v="93"/>
    <n v="3299.28"/>
    <n v="772.45"/>
    <x v="87"/>
    <n v="0.1"/>
    <n v="2206.7199999999998"/>
    <n v="1434.2699999999998"/>
    <n v="0.26049219033781323"/>
    <x v="2"/>
    <s v="Q1"/>
    <s v="2025"/>
  </r>
  <r>
    <x v="45"/>
    <x v="1"/>
    <x v="1"/>
    <x v="1"/>
    <x v="1"/>
    <x v="94"/>
    <n v="5432.83"/>
    <n v="1923.32"/>
    <x v="88"/>
    <n v="0.15"/>
    <n v="5492.17"/>
    <n v="3568.8500000000004"/>
    <n v="0.32666819221967969"/>
    <x v="2"/>
    <s v="Q1"/>
    <s v="2025"/>
  </r>
  <r>
    <x v="46"/>
    <x v="1"/>
    <x v="1"/>
    <x v="1"/>
    <x v="1"/>
    <x v="95"/>
    <n v="16617.07"/>
    <n v="3817.38"/>
    <x v="89"/>
    <n v="0.15"/>
    <n v="18182.93"/>
    <n v="14365.55"/>
    <n v="0.41280316091954022"/>
    <x v="2"/>
    <s v="Q1"/>
    <s v="2025"/>
  </r>
  <r>
    <x v="47"/>
    <x v="0"/>
    <x v="1"/>
    <x v="2"/>
    <x v="1"/>
    <x v="96"/>
    <n v="14117.79"/>
    <n v="3607.99"/>
    <x v="90"/>
    <n v="0.15"/>
    <n v="15689.21"/>
    <n v="12081.22"/>
    <n v="0.40531485892575569"/>
    <x v="2"/>
    <s v="Q1"/>
    <s v="2025"/>
  </r>
  <r>
    <x v="47"/>
    <x v="3"/>
    <x v="1"/>
    <x v="1"/>
    <x v="1"/>
    <x v="97"/>
    <n v="8941.3700000000008"/>
    <n v="1229.69"/>
    <x v="91"/>
    <n v="0.1"/>
    <n v="6411.6299999999992"/>
    <n v="5181.9399999999987"/>
    <n v="0.33751970298964362"/>
    <x v="2"/>
    <s v="Q1"/>
    <s v="2025"/>
  </r>
  <r>
    <x v="47"/>
    <x v="3"/>
    <x v="1"/>
    <x v="1"/>
    <x v="2"/>
    <x v="98"/>
    <n v="29193.94"/>
    <n v="5638.68"/>
    <x v="92"/>
    <n v="0.05"/>
    <n v="14444.060000000001"/>
    <n v="8805.380000000001"/>
    <n v="0.20178239149365235"/>
    <x v="2"/>
    <s v="Q1"/>
    <s v="2025"/>
  </r>
  <r>
    <x v="48"/>
    <x v="3"/>
    <x v="1"/>
    <x v="1"/>
    <x v="1"/>
    <x v="99"/>
    <n v="21485.59"/>
    <n v="8239.33"/>
    <x v="93"/>
    <n v="0.02"/>
    <n v="20514.41"/>
    <n v="12275.08"/>
    <n v="0.29226380952380954"/>
    <x v="2"/>
    <s v="Q1"/>
    <s v="2025"/>
  </r>
  <r>
    <x v="48"/>
    <x v="1"/>
    <x v="1"/>
    <x v="0"/>
    <x v="0"/>
    <x v="100"/>
    <n v="4898.63"/>
    <n v="1602.06"/>
    <x v="94"/>
    <n v="0.1"/>
    <n v="4507.37"/>
    <n v="2905.31"/>
    <n v="0.3088783755049968"/>
    <x v="2"/>
    <s v="Q1"/>
    <s v="2025"/>
  </r>
  <r>
    <x v="49"/>
    <x v="0"/>
    <x v="1"/>
    <x v="3"/>
    <x v="2"/>
    <x v="101"/>
    <n v="4199.32"/>
    <n v="1593.54"/>
    <x v="95"/>
    <n v="0"/>
    <n v="3541.6800000000003"/>
    <n v="1948.1400000000003"/>
    <n v="0.25166515954011115"/>
    <x v="2"/>
    <s v="Q1"/>
    <s v="2025"/>
  </r>
  <r>
    <x v="49"/>
    <x v="0"/>
    <x v="1"/>
    <x v="3"/>
    <x v="0"/>
    <x v="102"/>
    <n v="14653.52"/>
    <n v="3474.06"/>
    <x v="13"/>
    <n v="0.02"/>
    <n v="7297.48"/>
    <n v="3823.4199999999996"/>
    <n v="0.1741797640198624"/>
    <x v="2"/>
    <s v="Q1"/>
    <s v="2025"/>
  </r>
  <r>
    <x v="50"/>
    <x v="1"/>
    <x v="0"/>
    <x v="0"/>
    <x v="1"/>
    <x v="103"/>
    <n v="17701.400000000001"/>
    <n v="2777.95"/>
    <x v="96"/>
    <n v="0.1"/>
    <n v="11581.599999999999"/>
    <n v="8803.6499999999978"/>
    <n v="0.30064030324761798"/>
    <x v="2"/>
    <s v="Q1"/>
    <s v="2025"/>
  </r>
  <r>
    <x v="50"/>
    <x v="2"/>
    <x v="0"/>
    <x v="2"/>
    <x v="2"/>
    <x v="104"/>
    <n v="27254.45"/>
    <n v="3571.41"/>
    <x v="97"/>
    <n v="0.1"/>
    <n v="17294.55"/>
    <n v="13723.14"/>
    <n v="0.30804597185122001"/>
    <x v="2"/>
    <s v="Q1"/>
    <s v="2025"/>
  </r>
  <r>
    <x v="51"/>
    <x v="3"/>
    <x v="0"/>
    <x v="0"/>
    <x v="0"/>
    <x v="105"/>
    <n v="28767.06"/>
    <n v="5294.73"/>
    <x v="98"/>
    <n v="0.05"/>
    <n v="11582.939999999999"/>
    <n v="6288.2099999999991"/>
    <n v="0.15584163568773232"/>
    <x v="2"/>
    <s v="Q1"/>
    <s v="2025"/>
  </r>
  <r>
    <x v="51"/>
    <x v="0"/>
    <x v="1"/>
    <x v="0"/>
    <x v="2"/>
    <x v="106"/>
    <n v="12627"/>
    <n v="3062.57"/>
    <x v="99"/>
    <n v="0"/>
    <n v="6213"/>
    <n v="3150.43"/>
    <n v="0.16722027600849257"/>
    <x v="2"/>
    <s v="Q1"/>
    <s v="2025"/>
  </r>
  <r>
    <x v="51"/>
    <x v="2"/>
    <x v="0"/>
    <x v="3"/>
    <x v="2"/>
    <x v="107"/>
    <n v="6583.35"/>
    <n v="1752.76"/>
    <x v="100"/>
    <n v="0.1"/>
    <n v="2259.6499999999996"/>
    <n v="506.88999999999965"/>
    <n v="5.7321044894266614E-2"/>
    <x v="2"/>
    <s v="Q1"/>
    <s v="2025"/>
  </r>
  <r>
    <x v="51"/>
    <x v="2"/>
    <x v="1"/>
    <x v="2"/>
    <x v="1"/>
    <x v="108"/>
    <n v="5511.95"/>
    <n v="1855.77"/>
    <x v="15"/>
    <n v="0.15"/>
    <n v="6603.05"/>
    <n v="4747.2800000000007"/>
    <n v="0.3918514238547256"/>
    <x v="2"/>
    <s v="Q1"/>
    <s v="2025"/>
  </r>
  <r>
    <x v="52"/>
    <x v="3"/>
    <x v="0"/>
    <x v="0"/>
    <x v="2"/>
    <x v="109"/>
    <n v="12388.29"/>
    <n v="3133.15"/>
    <x v="101"/>
    <n v="0.05"/>
    <n v="13135.71"/>
    <n v="10002.56"/>
    <n v="0.39188841874314367"/>
    <x v="2"/>
    <s v="Q1"/>
    <s v="2025"/>
  </r>
  <r>
    <x v="52"/>
    <x v="2"/>
    <x v="1"/>
    <x v="3"/>
    <x v="0"/>
    <x v="110"/>
    <n v="32544.44"/>
    <n v="4230.67"/>
    <x v="102"/>
    <n v="0"/>
    <n v="14215.560000000001"/>
    <n v="9984.8900000000012"/>
    <n v="0.21353485885372114"/>
    <x v="2"/>
    <s v="Q1"/>
    <s v="2025"/>
  </r>
  <r>
    <x v="53"/>
    <x v="2"/>
    <x v="0"/>
    <x v="0"/>
    <x v="0"/>
    <x v="111"/>
    <n v="11285.39"/>
    <n v="3380.32"/>
    <x v="103"/>
    <n v="0.15"/>
    <n v="13680.61"/>
    <n v="10300.290000000001"/>
    <n v="0.41257269887046388"/>
    <x v="2"/>
    <s v="Q1"/>
    <s v="2025"/>
  </r>
  <r>
    <x v="54"/>
    <x v="3"/>
    <x v="0"/>
    <x v="1"/>
    <x v="1"/>
    <x v="112"/>
    <n v="18541.86"/>
    <n v="4096.51"/>
    <x v="42"/>
    <n v="0.15"/>
    <n v="8284.14"/>
    <n v="4187.6299999999992"/>
    <n v="0.15610340714232457"/>
    <x v="2"/>
    <s v="Q1"/>
    <s v="2025"/>
  </r>
  <r>
    <x v="54"/>
    <x v="2"/>
    <x v="0"/>
    <x v="3"/>
    <x v="0"/>
    <x v="113"/>
    <n v="3947.42"/>
    <n v="1158.07"/>
    <x v="49"/>
    <n v="0.1"/>
    <n v="1391.58"/>
    <n v="233.51"/>
    <n v="4.3736654804270463E-2"/>
    <x v="2"/>
    <s v="Q1"/>
    <s v="2025"/>
  </r>
  <r>
    <x v="54"/>
    <x v="3"/>
    <x v="1"/>
    <x v="0"/>
    <x v="0"/>
    <x v="114"/>
    <n v="24113.37"/>
    <n v="4523.26"/>
    <x v="104"/>
    <n v="0.15"/>
    <n v="18556.63"/>
    <n v="14033.37"/>
    <n v="0.32888141551441297"/>
    <x v="2"/>
    <s v="Q1"/>
    <s v="2025"/>
  </r>
  <r>
    <x v="55"/>
    <x v="1"/>
    <x v="0"/>
    <x v="3"/>
    <x v="1"/>
    <x v="115"/>
    <n v="9396.44"/>
    <n v="2470.7399999999998"/>
    <x v="105"/>
    <n v="0.05"/>
    <n v="7864.5599999999995"/>
    <n v="5393.82"/>
    <n v="0.31248595098777587"/>
    <x v="2"/>
    <s v="Q1"/>
    <s v="2025"/>
  </r>
  <r>
    <x v="55"/>
    <x v="1"/>
    <x v="1"/>
    <x v="2"/>
    <x v="2"/>
    <x v="116"/>
    <n v="20508.84"/>
    <n v="7362.29"/>
    <x v="106"/>
    <n v="0"/>
    <n v="19789.16"/>
    <n v="12426.869999999999"/>
    <n v="0.30837436101047194"/>
    <x v="2"/>
    <s v="Q1"/>
    <s v="2025"/>
  </r>
  <r>
    <x v="56"/>
    <x v="2"/>
    <x v="1"/>
    <x v="3"/>
    <x v="0"/>
    <x v="117"/>
    <n v="5277.02"/>
    <n v="2408.94"/>
    <x v="107"/>
    <n v="0.15"/>
    <n v="6066.98"/>
    <n v="3658.0399999999995"/>
    <n v="0.32246473906911138"/>
    <x v="2"/>
    <s v="Q1"/>
    <s v="2025"/>
  </r>
  <r>
    <x v="57"/>
    <x v="0"/>
    <x v="0"/>
    <x v="0"/>
    <x v="2"/>
    <x v="118"/>
    <n v="22667.07"/>
    <n v="6876.92"/>
    <x v="108"/>
    <n v="0.1"/>
    <n v="9200.93"/>
    <n v="2324.0100000000002"/>
    <n v="7.2926132797790894E-2"/>
    <x v="2"/>
    <s v="Q1"/>
    <s v="2025"/>
  </r>
  <r>
    <x v="58"/>
    <x v="3"/>
    <x v="1"/>
    <x v="2"/>
    <x v="2"/>
    <x v="119"/>
    <n v="12798.18"/>
    <n v="3344.31"/>
    <x v="109"/>
    <n v="0.02"/>
    <n v="8204.82"/>
    <n v="4860.51"/>
    <n v="0.23141979717183261"/>
    <x v="2"/>
    <s v="Q1"/>
    <s v="2025"/>
  </r>
  <r>
    <x v="58"/>
    <x v="2"/>
    <x v="0"/>
    <x v="0"/>
    <x v="1"/>
    <x v="120"/>
    <n v="11119.07"/>
    <n v="5137.34"/>
    <x v="72"/>
    <n v="0.05"/>
    <n v="12915.93"/>
    <n v="7778.59"/>
    <n v="0.32363594757645103"/>
    <x v="2"/>
    <s v="Q1"/>
    <s v="2025"/>
  </r>
  <r>
    <x v="59"/>
    <x v="0"/>
    <x v="0"/>
    <x v="1"/>
    <x v="0"/>
    <x v="121"/>
    <n v="4539.03"/>
    <n v="1557.53"/>
    <x v="110"/>
    <n v="0.15"/>
    <n v="4764.97"/>
    <n v="3207.4400000000005"/>
    <n v="0.34473774720550304"/>
    <x v="2"/>
    <s v="Q1"/>
    <s v="2025"/>
  </r>
  <r>
    <x v="59"/>
    <x v="1"/>
    <x v="1"/>
    <x v="1"/>
    <x v="2"/>
    <x v="122"/>
    <n v="26390.65"/>
    <n v="7843.83"/>
    <x v="111"/>
    <n v="0"/>
    <n v="15741.349999999999"/>
    <n v="7897.5199999999986"/>
    <n v="0.18744707110984521"/>
    <x v="2"/>
    <s v="Q1"/>
    <s v="2025"/>
  </r>
  <r>
    <x v="60"/>
    <x v="0"/>
    <x v="1"/>
    <x v="1"/>
    <x v="1"/>
    <x v="123"/>
    <n v="29989.89"/>
    <n v="6769.35"/>
    <x v="112"/>
    <n v="0"/>
    <n v="10976.11"/>
    <n v="4206.76"/>
    <n v="0.10268905921984085"/>
    <x v="2"/>
    <s v="Q1"/>
    <s v="2025"/>
  </r>
  <r>
    <x v="61"/>
    <x v="0"/>
    <x v="0"/>
    <x v="1"/>
    <x v="1"/>
    <x v="124"/>
    <n v="3778.88"/>
    <n v="953.41"/>
    <x v="113"/>
    <n v="0.15"/>
    <n v="3838.12"/>
    <n v="2884.71"/>
    <n v="0.37871996849153211"/>
    <x v="2"/>
    <s v="Q1"/>
    <s v="2025"/>
  </r>
  <r>
    <x v="62"/>
    <x v="3"/>
    <x v="1"/>
    <x v="3"/>
    <x v="0"/>
    <x v="125"/>
    <n v="23500.22"/>
    <n v="6111.45"/>
    <x v="114"/>
    <n v="0"/>
    <n v="23291.78"/>
    <n v="17180.329999999998"/>
    <n v="0.36716383142417502"/>
    <x v="2"/>
    <s v="Q1"/>
    <s v="2025"/>
  </r>
  <r>
    <x v="62"/>
    <x v="1"/>
    <x v="0"/>
    <x v="1"/>
    <x v="1"/>
    <x v="126"/>
    <n v="26869.85"/>
    <n v="7598.26"/>
    <x v="17"/>
    <n v="0.02"/>
    <n v="11262.150000000001"/>
    <n v="3663.8900000000012"/>
    <n v="9.6084391062624605E-2"/>
    <x v="2"/>
    <s v="Q1"/>
    <s v="2025"/>
  </r>
  <r>
    <x v="63"/>
    <x v="1"/>
    <x v="1"/>
    <x v="3"/>
    <x v="1"/>
    <x v="127"/>
    <n v="5053.03"/>
    <n v="1403.85"/>
    <x v="115"/>
    <n v="0.15"/>
    <n v="4246.97"/>
    <n v="2843.1200000000003"/>
    <n v="0.30571182795698926"/>
    <x v="2"/>
    <s v="Q1"/>
    <s v="2025"/>
  </r>
  <r>
    <x v="64"/>
    <x v="0"/>
    <x v="1"/>
    <x v="2"/>
    <x v="1"/>
    <x v="128"/>
    <n v="4658.7"/>
    <n v="1572.89"/>
    <x v="116"/>
    <n v="0.1"/>
    <n v="2923.3"/>
    <n v="1350.41"/>
    <n v="0.17810735953574255"/>
    <x v="2"/>
    <s v="Q1"/>
    <s v="2025"/>
  </r>
  <r>
    <x v="65"/>
    <x v="0"/>
    <x v="0"/>
    <x v="1"/>
    <x v="0"/>
    <x v="129"/>
    <n v="17755.3"/>
    <n v="2128.5500000000002"/>
    <x v="95"/>
    <n v="0"/>
    <n v="6869.7000000000007"/>
    <n v="4741.1500000000005"/>
    <n v="0.19253401015228427"/>
    <x v="2"/>
    <s v="Q1"/>
    <s v="2025"/>
  </r>
  <r>
    <x v="65"/>
    <x v="2"/>
    <x v="1"/>
    <x v="3"/>
    <x v="2"/>
    <x v="130"/>
    <n v="13079.28"/>
    <n v="1844.52"/>
    <x v="112"/>
    <n v="0"/>
    <n v="5806.7199999999993"/>
    <n v="3962.1999999999994"/>
    <n v="0.20979561580006351"/>
    <x v="2"/>
    <s v="Q1"/>
    <s v="2025"/>
  </r>
  <r>
    <x v="65"/>
    <x v="1"/>
    <x v="0"/>
    <x v="2"/>
    <x v="1"/>
    <x v="131"/>
    <n v="15933.64"/>
    <n v="3339.83"/>
    <x v="117"/>
    <n v="0.15"/>
    <n v="5991.3600000000006"/>
    <n v="2651.5300000000007"/>
    <n v="0.12093637400228054"/>
    <x v="2"/>
    <s v="Q1"/>
    <s v="2025"/>
  </r>
  <r>
    <x v="66"/>
    <x v="0"/>
    <x v="0"/>
    <x v="3"/>
    <x v="1"/>
    <x v="132"/>
    <n v="6034.47"/>
    <n v="960.12"/>
    <x v="118"/>
    <n v="0.02"/>
    <n v="3970.5299999999997"/>
    <n v="3010.41"/>
    <n v="0.30089055472263865"/>
    <x v="2"/>
    <s v="Q1"/>
    <s v="2025"/>
  </r>
  <r>
    <x v="66"/>
    <x v="2"/>
    <x v="0"/>
    <x v="3"/>
    <x v="0"/>
    <x v="133"/>
    <n v="24711.54"/>
    <n v="7730.32"/>
    <x v="119"/>
    <n v="0"/>
    <n v="17898.46"/>
    <n v="10168.14"/>
    <n v="0.23863271532504104"/>
    <x v="2"/>
    <s v="Q1"/>
    <s v="2025"/>
  </r>
  <r>
    <x v="67"/>
    <x v="1"/>
    <x v="0"/>
    <x v="3"/>
    <x v="2"/>
    <x v="134"/>
    <n v="8616.77"/>
    <n v="2059.5700000000002"/>
    <x v="120"/>
    <n v="0.05"/>
    <n v="7923.23"/>
    <n v="5863.66"/>
    <n v="0.35451390568319224"/>
    <x v="2"/>
    <s v="Q1"/>
    <s v="2025"/>
  </r>
  <r>
    <x v="68"/>
    <x v="0"/>
    <x v="1"/>
    <x v="2"/>
    <x v="0"/>
    <x v="135"/>
    <n v="5529.49"/>
    <n v="1000.71"/>
    <x v="121"/>
    <n v="0.02"/>
    <n v="1851.5100000000002"/>
    <n v="850.80000000000018"/>
    <n v="0.11526893374881454"/>
    <x v="3"/>
    <s v="Q2"/>
    <s v="2025"/>
  </r>
  <r>
    <x v="68"/>
    <x v="1"/>
    <x v="0"/>
    <x v="2"/>
    <x v="0"/>
    <x v="136"/>
    <n v="23493.279999999999"/>
    <n v="10681.06"/>
    <x v="122"/>
    <n v="0.15"/>
    <n v="26244.720000000001"/>
    <n v="15563.660000000002"/>
    <n v="0.31291286340423824"/>
    <x v="3"/>
    <s v="Q2"/>
    <s v="2025"/>
  </r>
  <r>
    <x v="69"/>
    <x v="0"/>
    <x v="1"/>
    <x v="3"/>
    <x v="0"/>
    <x v="137"/>
    <n v="30938.98"/>
    <n v="7257.34"/>
    <x v="123"/>
    <n v="0.1"/>
    <n v="11177.02"/>
    <n v="3919.6800000000003"/>
    <n v="9.3068667489790105E-2"/>
    <x v="3"/>
    <s v="Q2"/>
    <s v="2025"/>
  </r>
  <r>
    <x v="69"/>
    <x v="3"/>
    <x v="1"/>
    <x v="0"/>
    <x v="2"/>
    <x v="138"/>
    <n v="19715.53"/>
    <n v="4007.12"/>
    <x v="124"/>
    <n v="0.05"/>
    <n v="16515.47"/>
    <n v="12508.350000000002"/>
    <n v="0.3452388838287655"/>
    <x v="3"/>
    <s v="Q2"/>
    <s v="2025"/>
  </r>
  <r>
    <x v="70"/>
    <x v="3"/>
    <x v="1"/>
    <x v="2"/>
    <x v="0"/>
    <x v="139"/>
    <n v="10518.32"/>
    <n v="3564.9"/>
    <x v="86"/>
    <n v="0.02"/>
    <n v="8518.68"/>
    <n v="4953.7800000000007"/>
    <n v="0.26021852182591798"/>
    <x v="3"/>
    <s v="Q2"/>
    <s v="2025"/>
  </r>
  <r>
    <x v="70"/>
    <x v="0"/>
    <x v="0"/>
    <x v="0"/>
    <x v="1"/>
    <x v="140"/>
    <n v="21927.72"/>
    <n v="3845.13"/>
    <x v="125"/>
    <n v="0.05"/>
    <n v="18820.28"/>
    <n v="14975.149999999998"/>
    <n v="0.3675063806812604"/>
    <x v="3"/>
    <s v="Q2"/>
    <s v="2025"/>
  </r>
  <r>
    <x v="71"/>
    <x v="0"/>
    <x v="0"/>
    <x v="1"/>
    <x v="0"/>
    <x v="141"/>
    <n v="4380.1499999999996"/>
    <n v="1043.75"/>
    <x v="126"/>
    <n v="0.05"/>
    <n v="3914.8500000000004"/>
    <n v="2871.1000000000004"/>
    <n v="0.34612417118746236"/>
    <x v="3"/>
    <s v="Q2"/>
    <s v="2025"/>
  </r>
  <r>
    <x v="71"/>
    <x v="2"/>
    <x v="0"/>
    <x v="3"/>
    <x v="1"/>
    <x v="142"/>
    <n v="7105.11"/>
    <n v="2675.45"/>
    <x v="127"/>
    <n v="0.1"/>
    <n v="5354.89"/>
    <n v="2679.4400000000005"/>
    <n v="0.21504333868378817"/>
    <x v="3"/>
    <s v="Q2"/>
    <s v="2025"/>
  </r>
  <r>
    <x v="72"/>
    <x v="2"/>
    <x v="1"/>
    <x v="0"/>
    <x v="0"/>
    <x v="143"/>
    <n v="23832.02"/>
    <n v="8006.63"/>
    <x v="128"/>
    <n v="0.02"/>
    <n v="16420.98"/>
    <n v="8414.3499999999985"/>
    <n v="0.20903659354582263"/>
    <x v="3"/>
    <s v="Q2"/>
    <s v="2025"/>
  </r>
  <r>
    <x v="73"/>
    <x v="1"/>
    <x v="1"/>
    <x v="3"/>
    <x v="1"/>
    <x v="144"/>
    <n v="22825.64"/>
    <n v="3896.37"/>
    <x v="129"/>
    <n v="0"/>
    <n v="14432.36"/>
    <n v="10535.990000000002"/>
    <n v="0.28278463685651406"/>
    <x v="3"/>
    <s v="Q2"/>
    <s v="2025"/>
  </r>
  <r>
    <x v="74"/>
    <x v="2"/>
    <x v="1"/>
    <x v="2"/>
    <x v="1"/>
    <x v="145"/>
    <n v="5356.59"/>
    <n v="1569.22"/>
    <x v="112"/>
    <n v="0.1"/>
    <n v="5824.41"/>
    <n v="4255.1899999999996"/>
    <n v="0.38057329398086037"/>
    <x v="3"/>
    <s v="Q2"/>
    <s v="2025"/>
  </r>
  <r>
    <x v="74"/>
    <x v="0"/>
    <x v="0"/>
    <x v="1"/>
    <x v="2"/>
    <x v="146"/>
    <n v="26677.47"/>
    <n v="8993.52"/>
    <x v="107"/>
    <n v="0"/>
    <n v="17602.53"/>
    <n v="8609.0099999999984"/>
    <n v="0.19442208672086717"/>
    <x v="3"/>
    <s v="Q2"/>
    <s v="2025"/>
  </r>
  <r>
    <x v="75"/>
    <x v="3"/>
    <x v="1"/>
    <x v="1"/>
    <x v="0"/>
    <x v="147"/>
    <n v="6800.26"/>
    <n v="2257.94"/>
    <x v="130"/>
    <n v="0.05"/>
    <n v="5581.74"/>
    <n v="3323.7999999999997"/>
    <n v="0.26843805524147957"/>
    <x v="3"/>
    <s v="Q2"/>
    <s v="2025"/>
  </r>
  <r>
    <x v="76"/>
    <x v="3"/>
    <x v="0"/>
    <x v="2"/>
    <x v="1"/>
    <x v="148"/>
    <n v="12652.43"/>
    <n v="2566.44"/>
    <x v="131"/>
    <n v="0.15"/>
    <n v="11761.57"/>
    <n v="9195.1299999999992"/>
    <n v="0.37663348898173177"/>
    <x v="3"/>
    <s v="Q2"/>
    <s v="2025"/>
  </r>
  <r>
    <x v="76"/>
    <x v="2"/>
    <x v="1"/>
    <x v="2"/>
    <x v="2"/>
    <x v="149"/>
    <n v="25368.400000000001"/>
    <n v="5585.43"/>
    <x v="75"/>
    <n v="0.02"/>
    <n v="9434.5999999999985"/>
    <n v="3849.1699999999983"/>
    <n v="0.11059879895411311"/>
    <x v="3"/>
    <s v="Q2"/>
    <s v="2025"/>
  </r>
  <r>
    <x v="77"/>
    <x v="1"/>
    <x v="1"/>
    <x v="0"/>
    <x v="1"/>
    <x v="150"/>
    <n v="27597.7"/>
    <n v="4640.29"/>
    <x v="132"/>
    <n v="0.05"/>
    <n v="19737.3"/>
    <n v="15097.009999999998"/>
    <n v="0.31893968522235128"/>
    <x v="3"/>
    <s v="Q2"/>
    <s v="2025"/>
  </r>
  <r>
    <x v="78"/>
    <x v="0"/>
    <x v="1"/>
    <x v="2"/>
    <x v="0"/>
    <x v="151"/>
    <n v="21935.040000000001"/>
    <n v="5132.13"/>
    <x v="133"/>
    <n v="0.1"/>
    <n v="22691.96"/>
    <n v="17559.829999999998"/>
    <n v="0.39347995608039971"/>
    <x v="3"/>
    <s v="Q2"/>
    <s v="2025"/>
  </r>
  <r>
    <x v="78"/>
    <x v="3"/>
    <x v="1"/>
    <x v="1"/>
    <x v="1"/>
    <x v="152"/>
    <n v="13674.79"/>
    <n v="4122.7299999999996"/>
    <x v="134"/>
    <n v="0.02"/>
    <n v="6716.2099999999991"/>
    <n v="2593.4799999999996"/>
    <n v="0.12718748467461133"/>
    <x v="3"/>
    <s v="Q2"/>
    <s v="2025"/>
  </r>
  <r>
    <x v="79"/>
    <x v="1"/>
    <x v="1"/>
    <x v="3"/>
    <x v="1"/>
    <x v="153"/>
    <n v="21410.87"/>
    <n v="6394.27"/>
    <x v="127"/>
    <n v="0.02"/>
    <n v="18885.13"/>
    <n v="12490.86"/>
    <n v="0.30997766527695059"/>
    <x v="3"/>
    <s v="Q2"/>
    <s v="2025"/>
  </r>
  <r>
    <x v="80"/>
    <x v="0"/>
    <x v="0"/>
    <x v="3"/>
    <x v="1"/>
    <x v="154"/>
    <n v="9274.94"/>
    <n v="2045.05"/>
    <x v="135"/>
    <n v="0"/>
    <n v="5907.0599999999995"/>
    <n v="3862.0099999999993"/>
    <n v="0.25438084573837433"/>
    <x v="3"/>
    <s v="Q2"/>
    <s v="2025"/>
  </r>
  <r>
    <x v="81"/>
    <x v="3"/>
    <x v="0"/>
    <x v="1"/>
    <x v="0"/>
    <x v="155"/>
    <n v="5520.89"/>
    <n v="1373.68"/>
    <x v="136"/>
    <n v="0.15"/>
    <n v="3369.1099999999997"/>
    <n v="1995.4299999999996"/>
    <n v="0.22445781777277835"/>
    <x v="3"/>
    <s v="Q2"/>
    <s v="2025"/>
  </r>
  <r>
    <x v="81"/>
    <x v="0"/>
    <x v="0"/>
    <x v="1"/>
    <x v="1"/>
    <x v="156"/>
    <n v="9995.08"/>
    <n v="2749.7"/>
    <x v="137"/>
    <n v="0.15"/>
    <n v="7454.92"/>
    <n v="4705.22"/>
    <n v="0.26964011461318055"/>
    <x v="3"/>
    <s v="Q2"/>
    <s v="2025"/>
  </r>
  <r>
    <x v="82"/>
    <x v="1"/>
    <x v="0"/>
    <x v="3"/>
    <x v="2"/>
    <x v="157"/>
    <n v="21442.400000000001"/>
    <n v="8472.35"/>
    <x v="138"/>
    <n v="0.1"/>
    <n v="22028.6"/>
    <n v="13556.249999999998"/>
    <n v="0.31184582825331825"/>
    <x v="3"/>
    <s v="Q2"/>
    <s v="2025"/>
  </r>
  <r>
    <x v="83"/>
    <x v="2"/>
    <x v="0"/>
    <x v="2"/>
    <x v="1"/>
    <x v="158"/>
    <n v="14039.86"/>
    <n v="4636.92"/>
    <x v="139"/>
    <n v="0.15"/>
    <n v="13431.14"/>
    <n v="8794.2199999999993"/>
    <n v="0.32012740708383386"/>
    <x v="3"/>
    <s v="Q2"/>
    <s v="2025"/>
  </r>
  <r>
    <x v="83"/>
    <x v="2"/>
    <x v="1"/>
    <x v="1"/>
    <x v="1"/>
    <x v="159"/>
    <n v="23253.040000000001"/>
    <n v="6624.66"/>
    <x v="140"/>
    <n v="0.1"/>
    <n v="10480.959999999999"/>
    <n v="3856.2999999999993"/>
    <n v="0.1143149344874607"/>
    <x v="3"/>
    <s v="Q2"/>
    <s v="2025"/>
  </r>
  <r>
    <x v="83"/>
    <x v="3"/>
    <x v="0"/>
    <x v="2"/>
    <x v="0"/>
    <x v="160"/>
    <n v="30495.4"/>
    <n v="8085.04"/>
    <x v="141"/>
    <n v="0.02"/>
    <n v="15409.599999999999"/>
    <n v="7324.5599999999986"/>
    <n v="0.15955908942381"/>
    <x v="3"/>
    <s v="Q2"/>
    <s v="2025"/>
  </r>
  <r>
    <x v="84"/>
    <x v="3"/>
    <x v="1"/>
    <x v="2"/>
    <x v="1"/>
    <x v="161"/>
    <n v="31134.7"/>
    <n v="9637.73"/>
    <x v="142"/>
    <n v="0.1"/>
    <n v="15026.3"/>
    <n v="5388.57"/>
    <n v="0.1167342561902905"/>
    <x v="3"/>
    <s v="Q2"/>
    <s v="2025"/>
  </r>
  <r>
    <x v="84"/>
    <x v="3"/>
    <x v="0"/>
    <x v="0"/>
    <x v="0"/>
    <x v="162"/>
    <n v="9193.52"/>
    <n v="2459.25"/>
    <x v="42"/>
    <n v="0"/>
    <n v="8071.48"/>
    <n v="5612.23"/>
    <n v="0.32506400231682592"/>
    <x v="3"/>
    <s v="Q2"/>
    <s v="2025"/>
  </r>
  <r>
    <x v="84"/>
    <x v="1"/>
    <x v="1"/>
    <x v="0"/>
    <x v="2"/>
    <x v="163"/>
    <n v="21845.43"/>
    <n v="4880.49"/>
    <x v="143"/>
    <n v="0.15"/>
    <n v="16468.57"/>
    <n v="11588.08"/>
    <n v="0.30245027927128465"/>
    <x v="3"/>
    <s v="Q2"/>
    <s v="2025"/>
  </r>
  <r>
    <x v="85"/>
    <x v="0"/>
    <x v="1"/>
    <x v="0"/>
    <x v="2"/>
    <x v="164"/>
    <n v="13006.26"/>
    <n v="3603.98"/>
    <x v="144"/>
    <n v="0.05"/>
    <n v="14052.74"/>
    <n v="10448.76"/>
    <n v="0.38614730773494954"/>
    <x v="3"/>
    <s v="Q2"/>
    <s v="2025"/>
  </r>
  <r>
    <x v="86"/>
    <x v="1"/>
    <x v="1"/>
    <x v="0"/>
    <x v="2"/>
    <x v="165"/>
    <n v="5509"/>
    <n v="1376.97"/>
    <x v="145"/>
    <n v="0.05"/>
    <n v="3323"/>
    <n v="1946.03"/>
    <n v="0.22033854166666667"/>
    <x v="3"/>
    <s v="Q2"/>
    <s v="2025"/>
  </r>
  <r>
    <x v="86"/>
    <x v="1"/>
    <x v="1"/>
    <x v="0"/>
    <x v="1"/>
    <x v="166"/>
    <n v="20244.89"/>
    <n v="5976.73"/>
    <x v="22"/>
    <n v="0"/>
    <n v="22655.11"/>
    <n v="16678.38"/>
    <n v="0.38877342657342662"/>
    <x v="3"/>
    <s v="Q2"/>
    <s v="2025"/>
  </r>
  <r>
    <x v="87"/>
    <x v="3"/>
    <x v="1"/>
    <x v="0"/>
    <x v="2"/>
    <x v="167"/>
    <n v="8479.2000000000007"/>
    <n v="1304.21"/>
    <x v="146"/>
    <n v="0"/>
    <n v="5585.7999999999993"/>
    <n v="4281.5899999999992"/>
    <n v="0.30441450408816206"/>
    <x v="3"/>
    <s v="Q2"/>
    <s v="2025"/>
  </r>
  <r>
    <x v="88"/>
    <x v="2"/>
    <x v="0"/>
    <x v="0"/>
    <x v="2"/>
    <x v="168"/>
    <n v="20713.7"/>
    <n v="3870.61"/>
    <x v="147"/>
    <n v="0.05"/>
    <n v="10788.3"/>
    <n v="6917.6899999999987"/>
    <n v="0.21959526379277503"/>
    <x v="3"/>
    <s v="Q2"/>
    <s v="2025"/>
  </r>
  <r>
    <x v="88"/>
    <x v="0"/>
    <x v="1"/>
    <x v="2"/>
    <x v="1"/>
    <x v="169"/>
    <n v="6911.06"/>
    <n v="1846.08"/>
    <x v="148"/>
    <n v="0"/>
    <n v="6654.94"/>
    <n v="4808.8599999999997"/>
    <n v="0.35447884416924663"/>
    <x v="3"/>
    <s v="Q2"/>
    <s v="2025"/>
  </r>
  <r>
    <x v="89"/>
    <x v="0"/>
    <x v="0"/>
    <x v="0"/>
    <x v="2"/>
    <x v="170"/>
    <n v="4244.47"/>
    <n v="889.39"/>
    <x v="149"/>
    <n v="0"/>
    <n v="2305.5299999999997"/>
    <n v="1416.1399999999999"/>
    <n v="0.21620458015267174"/>
    <x v="3"/>
    <s v="Q2"/>
    <s v="2025"/>
  </r>
  <r>
    <x v="89"/>
    <x v="0"/>
    <x v="0"/>
    <x v="2"/>
    <x v="0"/>
    <x v="171"/>
    <n v="14475.56"/>
    <n v="5129.47"/>
    <x v="150"/>
    <n v="0.05"/>
    <n v="10649.44"/>
    <n v="5519.97"/>
    <n v="0.2197002985074627"/>
    <x v="3"/>
    <s v="Q2"/>
    <s v="2025"/>
  </r>
  <r>
    <x v="90"/>
    <x v="3"/>
    <x v="0"/>
    <x v="2"/>
    <x v="2"/>
    <x v="172"/>
    <n v="6075.05"/>
    <n v="1199.3399999999999"/>
    <x v="42"/>
    <n v="0.02"/>
    <n v="3976.95"/>
    <n v="2777.6099999999997"/>
    <n v="0.27632411460405887"/>
    <x v="3"/>
    <s v="Q2"/>
    <s v="2025"/>
  </r>
  <r>
    <x v="90"/>
    <x v="2"/>
    <x v="1"/>
    <x v="3"/>
    <x v="2"/>
    <x v="173"/>
    <n v="22306.51"/>
    <n v="5817.85"/>
    <x v="151"/>
    <n v="0.1"/>
    <n v="9865.4900000000016"/>
    <n v="4047.6400000000012"/>
    <n v="0.12581250777073236"/>
    <x v="3"/>
    <s v="Q2"/>
    <s v="2025"/>
  </r>
  <r>
    <x v="91"/>
    <x v="0"/>
    <x v="0"/>
    <x v="0"/>
    <x v="0"/>
    <x v="174"/>
    <n v="4826.75"/>
    <n v="1028.28"/>
    <x v="152"/>
    <n v="0.02"/>
    <n v="4292.25"/>
    <n v="3263.9700000000003"/>
    <n v="0.3579306941550609"/>
    <x v="3"/>
    <s v="Q2"/>
    <s v="2025"/>
  </r>
  <r>
    <x v="92"/>
    <x v="3"/>
    <x v="1"/>
    <x v="0"/>
    <x v="2"/>
    <x v="175"/>
    <n v="16423.599999999999"/>
    <n v="7315.76"/>
    <x v="153"/>
    <n v="0.05"/>
    <n v="19474.400000000001"/>
    <n v="12158.640000000001"/>
    <n v="0.33869964900551564"/>
    <x v="3"/>
    <s v="Q2"/>
    <s v="2025"/>
  </r>
  <r>
    <x v="92"/>
    <x v="0"/>
    <x v="1"/>
    <x v="1"/>
    <x v="2"/>
    <x v="176"/>
    <n v="20799.39"/>
    <n v="8111.83"/>
    <x v="74"/>
    <n v="0.02"/>
    <n v="19573.61"/>
    <n v="11461.78"/>
    <n v="0.28389715899239593"/>
    <x v="3"/>
    <s v="Q2"/>
    <s v="2025"/>
  </r>
  <r>
    <x v="92"/>
    <x v="0"/>
    <x v="1"/>
    <x v="0"/>
    <x v="2"/>
    <x v="177"/>
    <n v="22428.51"/>
    <n v="7998.41"/>
    <x v="154"/>
    <n v="0"/>
    <n v="18061.490000000002"/>
    <n v="10063.080000000002"/>
    <n v="0.2485324771548531"/>
    <x v="3"/>
    <s v="Q2"/>
    <s v="2025"/>
  </r>
  <r>
    <x v="92"/>
    <x v="1"/>
    <x v="1"/>
    <x v="0"/>
    <x v="0"/>
    <x v="178"/>
    <n v="7421.9"/>
    <n v="2658.69"/>
    <x v="155"/>
    <n v="0.15"/>
    <n v="8039.1"/>
    <n v="5380.41"/>
    <n v="0.34799883578035057"/>
    <x v="3"/>
    <s v="Q2"/>
    <s v="2025"/>
  </r>
  <r>
    <x v="93"/>
    <x v="1"/>
    <x v="1"/>
    <x v="0"/>
    <x v="2"/>
    <x v="179"/>
    <n v="26663.13"/>
    <n v="9470.77"/>
    <x v="52"/>
    <n v="0"/>
    <n v="22428.87"/>
    <n v="12958.099999999999"/>
    <n v="0.26395543062006027"/>
    <x v="4"/>
    <s v="Q2"/>
    <s v="2025"/>
  </r>
  <r>
    <x v="93"/>
    <x v="2"/>
    <x v="1"/>
    <x v="0"/>
    <x v="2"/>
    <x v="180"/>
    <n v="19739.849999999999"/>
    <n v="5773.13"/>
    <x v="156"/>
    <n v="0.15"/>
    <n v="20488.150000000001"/>
    <n v="14715.02"/>
    <n v="0.36579049418315601"/>
    <x v="4"/>
    <s v="Q2"/>
    <s v="2025"/>
  </r>
  <r>
    <x v="93"/>
    <x v="1"/>
    <x v="0"/>
    <x v="1"/>
    <x v="1"/>
    <x v="181"/>
    <n v="13803.07"/>
    <n v="5063.03"/>
    <x v="157"/>
    <n v="0.05"/>
    <n v="14964.93"/>
    <n v="9901.9000000000015"/>
    <n v="0.34419841490545056"/>
    <x v="4"/>
    <s v="Q2"/>
    <s v="2025"/>
  </r>
  <r>
    <x v="93"/>
    <x v="0"/>
    <x v="1"/>
    <x v="1"/>
    <x v="0"/>
    <x v="182"/>
    <n v="5899.2"/>
    <n v="1316.7"/>
    <x v="158"/>
    <n v="0.1"/>
    <n v="3171.8"/>
    <n v="1855.1000000000001"/>
    <n v="0.2045088744350127"/>
    <x v="4"/>
    <s v="Q2"/>
    <s v="2025"/>
  </r>
  <r>
    <x v="94"/>
    <x v="1"/>
    <x v="1"/>
    <x v="0"/>
    <x v="1"/>
    <x v="183"/>
    <n v="9093.02"/>
    <n v="2343.36"/>
    <x v="107"/>
    <n v="0.1"/>
    <n v="6805.98"/>
    <n v="4462.619999999999"/>
    <n v="0.28068557770928981"/>
    <x v="4"/>
    <s v="Q2"/>
    <s v="2025"/>
  </r>
  <r>
    <x v="94"/>
    <x v="2"/>
    <x v="1"/>
    <x v="3"/>
    <x v="1"/>
    <x v="184"/>
    <n v="13000.48"/>
    <n v="3043.95"/>
    <x v="159"/>
    <n v="0.15"/>
    <n v="5753.52"/>
    <n v="2709.5700000000006"/>
    <n v="0.14447957769009281"/>
    <x v="4"/>
    <s v="Q2"/>
    <s v="2025"/>
  </r>
  <r>
    <x v="95"/>
    <x v="0"/>
    <x v="0"/>
    <x v="3"/>
    <x v="2"/>
    <x v="185"/>
    <n v="29513.25"/>
    <n v="5666.8"/>
    <x v="160"/>
    <n v="0.15"/>
    <n v="12624.75"/>
    <n v="6957.95"/>
    <n v="0.16512292942237411"/>
    <x v="4"/>
    <s v="Q2"/>
    <s v="2025"/>
  </r>
  <r>
    <x v="95"/>
    <x v="0"/>
    <x v="0"/>
    <x v="3"/>
    <x v="0"/>
    <x v="186"/>
    <n v="24207.37"/>
    <n v="3394.4"/>
    <x v="12"/>
    <n v="0"/>
    <n v="13532.630000000001"/>
    <n v="10138.230000000001"/>
    <n v="0.26863354531001593"/>
    <x v="4"/>
    <s v="Q2"/>
    <s v="2025"/>
  </r>
  <r>
    <x v="96"/>
    <x v="2"/>
    <x v="0"/>
    <x v="0"/>
    <x v="1"/>
    <x v="187"/>
    <n v="23206.3"/>
    <n v="8000.27"/>
    <x v="161"/>
    <n v="0.05"/>
    <n v="14515.7"/>
    <n v="6515.43"/>
    <n v="0.17272228407825674"/>
    <x v="4"/>
    <s v="Q2"/>
    <s v="2025"/>
  </r>
  <r>
    <x v="96"/>
    <x v="1"/>
    <x v="0"/>
    <x v="3"/>
    <x v="1"/>
    <x v="188"/>
    <n v="7746.69"/>
    <n v="1024.94"/>
    <x v="162"/>
    <n v="0.15"/>
    <n v="2903.3100000000004"/>
    <n v="1878.3700000000003"/>
    <n v="0.17637276995305168"/>
    <x v="4"/>
    <s v="Q2"/>
    <s v="2025"/>
  </r>
  <r>
    <x v="97"/>
    <x v="2"/>
    <x v="1"/>
    <x v="3"/>
    <x v="0"/>
    <x v="189"/>
    <n v="12677.45"/>
    <n v="3016.62"/>
    <x v="163"/>
    <n v="0.02"/>
    <n v="5387.5499999999993"/>
    <n v="2370.9299999999994"/>
    <n v="0.1312443952394132"/>
    <x v="4"/>
    <s v="Q2"/>
    <s v="2025"/>
  </r>
  <r>
    <x v="97"/>
    <x v="3"/>
    <x v="0"/>
    <x v="1"/>
    <x v="0"/>
    <x v="190"/>
    <n v="14376.15"/>
    <n v="2595.73"/>
    <x v="164"/>
    <n v="0.05"/>
    <n v="8907.85"/>
    <n v="6312.1200000000008"/>
    <n v="0.27109259577392203"/>
    <x v="4"/>
    <s v="Q2"/>
    <s v="2025"/>
  </r>
  <r>
    <x v="98"/>
    <x v="1"/>
    <x v="0"/>
    <x v="0"/>
    <x v="2"/>
    <x v="191"/>
    <n v="5241.67"/>
    <n v="1795.71"/>
    <x v="165"/>
    <n v="0"/>
    <n v="4200.33"/>
    <n v="2404.62"/>
    <n v="0.25467273882651981"/>
    <x v="4"/>
    <s v="Q2"/>
    <s v="2025"/>
  </r>
  <r>
    <x v="99"/>
    <x v="1"/>
    <x v="1"/>
    <x v="3"/>
    <x v="1"/>
    <x v="192"/>
    <n v="11442.2"/>
    <n v="2806.75"/>
    <x v="166"/>
    <n v="0.05"/>
    <n v="6421.7999999999993"/>
    <n v="3615.0499999999993"/>
    <n v="0.20236509180474693"/>
    <x v="4"/>
    <s v="Q2"/>
    <s v="2025"/>
  </r>
  <r>
    <x v="99"/>
    <x v="1"/>
    <x v="0"/>
    <x v="0"/>
    <x v="1"/>
    <x v="193"/>
    <n v="10243.69"/>
    <n v="2578.87"/>
    <x v="68"/>
    <n v="0.02"/>
    <n v="4352.3099999999995"/>
    <n v="1773.4399999999996"/>
    <n v="0.1215017813099479"/>
    <x v="4"/>
    <s v="Q2"/>
    <s v="2025"/>
  </r>
  <r>
    <x v="100"/>
    <x v="3"/>
    <x v="1"/>
    <x v="2"/>
    <x v="1"/>
    <x v="194"/>
    <n v="6127.85"/>
    <n v="1916.48"/>
    <x v="113"/>
    <n v="0.05"/>
    <n v="4239.1499999999996"/>
    <n v="2322.6699999999996"/>
    <n v="0.22404456448345708"/>
    <x v="4"/>
    <s v="Q2"/>
    <s v="2025"/>
  </r>
  <r>
    <x v="100"/>
    <x v="1"/>
    <x v="1"/>
    <x v="1"/>
    <x v="0"/>
    <x v="195"/>
    <n v="35508.21"/>
    <n v="7894.75"/>
    <x v="42"/>
    <n v="0.05"/>
    <n v="12519.79"/>
    <n v="4625.0400000000009"/>
    <n v="9.6298825685017089E-2"/>
    <x v="4"/>
    <s v="Q2"/>
    <s v="2025"/>
  </r>
  <r>
    <x v="100"/>
    <x v="2"/>
    <x v="0"/>
    <x v="0"/>
    <x v="2"/>
    <x v="196"/>
    <n v="23902.04"/>
    <n v="6706.53"/>
    <x v="167"/>
    <n v="0"/>
    <n v="24263.96"/>
    <n v="17557.43"/>
    <n v="0.36451916289498815"/>
    <x v="4"/>
    <s v="Q2"/>
    <s v="2025"/>
  </r>
  <r>
    <x v="100"/>
    <x v="2"/>
    <x v="1"/>
    <x v="2"/>
    <x v="2"/>
    <x v="197"/>
    <n v="11387.18"/>
    <n v="3373.78"/>
    <x v="168"/>
    <n v="0.15"/>
    <n v="7912.82"/>
    <n v="4539.0399999999991"/>
    <n v="0.23518341968911913"/>
    <x v="4"/>
    <s v="Q2"/>
    <s v="2025"/>
  </r>
  <r>
    <x v="101"/>
    <x v="3"/>
    <x v="1"/>
    <x v="0"/>
    <x v="0"/>
    <x v="198"/>
    <n v="22053.200000000001"/>
    <n v="9382.3700000000008"/>
    <x v="169"/>
    <n v="0.05"/>
    <n v="26648.799999999999"/>
    <n v="17266.43"/>
    <n v="0.3545322574021601"/>
    <x v="4"/>
    <s v="Q2"/>
    <s v="2025"/>
  </r>
  <r>
    <x v="101"/>
    <x v="1"/>
    <x v="1"/>
    <x v="2"/>
    <x v="0"/>
    <x v="199"/>
    <n v="21736.38"/>
    <n v="5201.8599999999997"/>
    <x v="170"/>
    <n v="0"/>
    <n v="7793.619999999999"/>
    <n v="2591.7599999999993"/>
    <n v="8.776701659329493E-2"/>
    <x v="4"/>
    <s v="Q2"/>
    <s v="2025"/>
  </r>
  <r>
    <x v="101"/>
    <x v="1"/>
    <x v="1"/>
    <x v="2"/>
    <x v="1"/>
    <x v="200"/>
    <n v="8434.77"/>
    <n v="2047.71"/>
    <x v="171"/>
    <n v="0.02"/>
    <n v="3308.2299999999996"/>
    <n v="1260.5199999999995"/>
    <n v="0.10734224644469041"/>
    <x v="4"/>
    <s v="Q2"/>
    <s v="2025"/>
  </r>
  <r>
    <x v="101"/>
    <x v="1"/>
    <x v="1"/>
    <x v="2"/>
    <x v="0"/>
    <x v="201"/>
    <n v="25505.64"/>
    <n v="6533.15"/>
    <x v="146"/>
    <n v="0"/>
    <n v="14538.36"/>
    <n v="8005.2100000000009"/>
    <n v="0.19991034861652185"/>
    <x v="4"/>
    <s v="Q2"/>
    <s v="2025"/>
  </r>
  <r>
    <x v="101"/>
    <x v="2"/>
    <x v="0"/>
    <x v="3"/>
    <x v="1"/>
    <x v="202"/>
    <n v="24654.13"/>
    <n v="7522.62"/>
    <x v="172"/>
    <n v="0.05"/>
    <n v="11614.869999999999"/>
    <n v="4092.2499999999991"/>
    <n v="0.11283051641898037"/>
    <x v="4"/>
    <s v="Q2"/>
    <s v="2025"/>
  </r>
  <r>
    <x v="102"/>
    <x v="1"/>
    <x v="1"/>
    <x v="2"/>
    <x v="1"/>
    <x v="203"/>
    <n v="14577.54"/>
    <n v="4463.16"/>
    <x v="173"/>
    <n v="0.05"/>
    <n v="12726.46"/>
    <n v="8263.2999999999993"/>
    <n v="0.30264063873425134"/>
    <x v="4"/>
    <s v="Q2"/>
    <s v="2025"/>
  </r>
  <r>
    <x v="102"/>
    <x v="2"/>
    <x v="0"/>
    <x v="1"/>
    <x v="0"/>
    <x v="204"/>
    <n v="18771.73"/>
    <n v="5398.23"/>
    <x v="174"/>
    <n v="0"/>
    <n v="7183.27"/>
    <n v="1785.0400000000009"/>
    <n v="6.8774417260643456E-2"/>
    <x v="4"/>
    <s v="Q2"/>
    <s v="2025"/>
  </r>
  <r>
    <x v="103"/>
    <x v="0"/>
    <x v="0"/>
    <x v="1"/>
    <x v="1"/>
    <x v="205"/>
    <n v="18664.03"/>
    <n v="3462.28"/>
    <x v="175"/>
    <n v="0.05"/>
    <n v="6979.9700000000012"/>
    <n v="3517.690000000001"/>
    <n v="0.13717399781625336"/>
    <x v="4"/>
    <s v="Q2"/>
    <s v="2025"/>
  </r>
  <r>
    <x v="104"/>
    <x v="0"/>
    <x v="0"/>
    <x v="0"/>
    <x v="2"/>
    <x v="206"/>
    <n v="8840.76"/>
    <n v="1693.06"/>
    <x v="176"/>
    <n v="0.1"/>
    <n v="10297.24"/>
    <n v="8604.18"/>
    <n v="0.44958616365346432"/>
    <x v="4"/>
    <s v="Q2"/>
    <s v="2025"/>
  </r>
  <r>
    <x v="104"/>
    <x v="1"/>
    <x v="1"/>
    <x v="2"/>
    <x v="1"/>
    <x v="207"/>
    <n v="19936.3"/>
    <n v="3776.59"/>
    <x v="177"/>
    <n v="0.15"/>
    <n v="13881.7"/>
    <n v="10105.11"/>
    <n v="0.29880862262700336"/>
    <x v="4"/>
    <s v="Q2"/>
    <s v="2025"/>
  </r>
  <r>
    <x v="105"/>
    <x v="3"/>
    <x v="0"/>
    <x v="1"/>
    <x v="1"/>
    <x v="208"/>
    <n v="19675.86"/>
    <n v="3801.9"/>
    <x v="178"/>
    <n v="0"/>
    <n v="9295.14"/>
    <n v="5493.24"/>
    <n v="0.18961168064616341"/>
    <x v="4"/>
    <s v="Q2"/>
    <s v="2025"/>
  </r>
  <r>
    <x v="105"/>
    <x v="0"/>
    <x v="1"/>
    <x v="0"/>
    <x v="1"/>
    <x v="209"/>
    <n v="7050.17"/>
    <n v="1473.03"/>
    <x v="179"/>
    <n v="0.1"/>
    <n v="3921.83"/>
    <n v="2448.8000000000002"/>
    <n v="0.22318629238060519"/>
    <x v="4"/>
    <s v="Q2"/>
    <s v="2025"/>
  </r>
  <r>
    <x v="106"/>
    <x v="2"/>
    <x v="1"/>
    <x v="0"/>
    <x v="2"/>
    <x v="210"/>
    <n v="2764.11"/>
    <n v="629.45000000000005"/>
    <x v="61"/>
    <n v="0.15"/>
    <n v="2403.89"/>
    <n v="1774.4399999999998"/>
    <n v="0.34335139318885444"/>
    <x v="4"/>
    <s v="Q2"/>
    <s v="2025"/>
  </r>
  <r>
    <x v="107"/>
    <x v="0"/>
    <x v="1"/>
    <x v="1"/>
    <x v="2"/>
    <x v="211"/>
    <n v="8678.68"/>
    <n v="1071.22"/>
    <x v="180"/>
    <n v="0.1"/>
    <n v="4057.3199999999997"/>
    <n v="2986.0999999999995"/>
    <n v="0.23446136934673362"/>
    <x v="4"/>
    <s v="Q2"/>
    <s v="2025"/>
  </r>
  <r>
    <x v="108"/>
    <x v="2"/>
    <x v="1"/>
    <x v="3"/>
    <x v="2"/>
    <x v="212"/>
    <n v="18342.419999999998"/>
    <n v="3260.74"/>
    <x v="181"/>
    <n v="0.02"/>
    <n v="6906.5800000000017"/>
    <n v="3645.840000000002"/>
    <n v="0.14439542160085556"/>
    <x v="4"/>
    <s v="Q2"/>
    <s v="2025"/>
  </r>
  <r>
    <x v="109"/>
    <x v="1"/>
    <x v="0"/>
    <x v="1"/>
    <x v="2"/>
    <x v="213"/>
    <n v="7185.77"/>
    <n v="1279.06"/>
    <x v="150"/>
    <n v="0.02"/>
    <n v="3931.2299999999996"/>
    <n v="2652.1699999999996"/>
    <n v="0.23856885850499232"/>
    <x v="4"/>
    <s v="Q2"/>
    <s v="2025"/>
  </r>
  <r>
    <x v="109"/>
    <x v="2"/>
    <x v="1"/>
    <x v="3"/>
    <x v="2"/>
    <x v="214"/>
    <n v="12700.22"/>
    <n v="1939.69"/>
    <x v="182"/>
    <n v="0.02"/>
    <n v="6021.7800000000007"/>
    <n v="4082.0900000000006"/>
    <n v="0.21803706868924264"/>
    <x v="4"/>
    <s v="Q2"/>
    <s v="2025"/>
  </r>
  <r>
    <x v="110"/>
    <x v="3"/>
    <x v="1"/>
    <x v="3"/>
    <x v="1"/>
    <x v="215"/>
    <n v="25724.58"/>
    <n v="5579.77"/>
    <x v="183"/>
    <n v="0.05"/>
    <n v="21257.42"/>
    <n v="15677.649999999998"/>
    <n v="0.33369481929249495"/>
    <x v="4"/>
    <s v="Q2"/>
    <s v="2025"/>
  </r>
  <r>
    <x v="111"/>
    <x v="1"/>
    <x v="1"/>
    <x v="2"/>
    <x v="1"/>
    <x v="216"/>
    <n v="18539.900000000001"/>
    <n v="7390.55"/>
    <x v="184"/>
    <n v="0.15"/>
    <n v="16778.099999999999"/>
    <n v="9387.5499999999993"/>
    <n v="0.26580072484285633"/>
    <x v="4"/>
    <s v="Q2"/>
    <s v="2025"/>
  </r>
  <r>
    <x v="111"/>
    <x v="1"/>
    <x v="0"/>
    <x v="0"/>
    <x v="2"/>
    <x v="217"/>
    <n v="21952.61"/>
    <n v="4252.6400000000003"/>
    <x v="185"/>
    <n v="0.05"/>
    <n v="19524.39"/>
    <n v="15271.75"/>
    <n v="0.36819803746654772"/>
    <x v="4"/>
    <s v="Q2"/>
    <s v="2025"/>
  </r>
  <r>
    <x v="112"/>
    <x v="2"/>
    <x v="0"/>
    <x v="2"/>
    <x v="2"/>
    <x v="218"/>
    <n v="16054.21"/>
    <n v="4994.78"/>
    <x v="105"/>
    <n v="0.15"/>
    <n v="15020.79"/>
    <n v="10026.010000000002"/>
    <n v="0.32263909895414328"/>
    <x v="4"/>
    <s v="Q2"/>
    <s v="2025"/>
  </r>
  <r>
    <x v="113"/>
    <x v="0"/>
    <x v="0"/>
    <x v="0"/>
    <x v="0"/>
    <x v="219"/>
    <n v="16024.5"/>
    <n v="3146.43"/>
    <x v="133"/>
    <n v="0.1"/>
    <n v="15770.5"/>
    <n v="12624.07"/>
    <n v="0.39704576191225033"/>
    <x v="4"/>
    <s v="Q2"/>
    <s v="2025"/>
  </r>
  <r>
    <x v="114"/>
    <x v="3"/>
    <x v="0"/>
    <x v="3"/>
    <x v="0"/>
    <x v="220"/>
    <n v="25372.6"/>
    <n v="5298.63"/>
    <x v="28"/>
    <n v="0.1"/>
    <n v="12976.400000000001"/>
    <n v="7677.7700000000013"/>
    <n v="0.20020782810503537"/>
    <x v="4"/>
    <s v="Q2"/>
    <s v="2025"/>
  </r>
  <r>
    <x v="115"/>
    <x v="0"/>
    <x v="0"/>
    <x v="0"/>
    <x v="2"/>
    <x v="221"/>
    <n v="20026.37"/>
    <n v="5249"/>
    <x v="186"/>
    <n v="0.05"/>
    <n v="7253.630000000001"/>
    <n v="2004.630000000001"/>
    <n v="7.3483504398827018E-2"/>
    <x v="4"/>
    <s v="Q2"/>
    <s v="2025"/>
  </r>
  <r>
    <x v="116"/>
    <x v="3"/>
    <x v="1"/>
    <x v="2"/>
    <x v="1"/>
    <x v="222"/>
    <n v="24218.84"/>
    <n v="7247.48"/>
    <x v="187"/>
    <n v="0"/>
    <n v="23479.16"/>
    <n v="16231.68"/>
    <n v="0.34030106084112544"/>
    <x v="5"/>
    <s v="Q2"/>
    <s v="2025"/>
  </r>
  <r>
    <x v="117"/>
    <x v="3"/>
    <x v="0"/>
    <x v="3"/>
    <x v="0"/>
    <x v="223"/>
    <n v="21575"/>
    <n v="6523.53"/>
    <x v="188"/>
    <n v="0.15"/>
    <n v="8983"/>
    <n v="2459.4700000000003"/>
    <n v="8.048530663001506E-2"/>
    <x v="5"/>
    <s v="Q2"/>
    <s v="2025"/>
  </r>
  <r>
    <x v="117"/>
    <x v="0"/>
    <x v="0"/>
    <x v="0"/>
    <x v="1"/>
    <x v="224"/>
    <n v="14953.03"/>
    <n v="6401.56"/>
    <x v="189"/>
    <n v="0.02"/>
    <n v="17119.97"/>
    <n v="10718.41"/>
    <n v="0.3341879462476226"/>
    <x v="5"/>
    <s v="Q2"/>
    <s v="2025"/>
  </r>
  <r>
    <x v="117"/>
    <x v="2"/>
    <x v="1"/>
    <x v="1"/>
    <x v="0"/>
    <x v="225"/>
    <n v="14117.29"/>
    <n v="3677.19"/>
    <x v="190"/>
    <n v="0.05"/>
    <n v="9941.7099999999991"/>
    <n v="6264.5199999999986"/>
    <n v="0.26038156199343276"/>
    <x v="5"/>
    <s v="Q2"/>
    <s v="2025"/>
  </r>
  <r>
    <x v="118"/>
    <x v="0"/>
    <x v="0"/>
    <x v="2"/>
    <x v="1"/>
    <x v="226"/>
    <n v="27220.7"/>
    <n v="4734.3"/>
    <x v="191"/>
    <n v="0"/>
    <n v="20327.3"/>
    <n v="15593"/>
    <n v="0.32794228989652563"/>
    <x v="5"/>
    <s v="Q2"/>
    <s v="2025"/>
  </r>
  <r>
    <x v="118"/>
    <x v="2"/>
    <x v="1"/>
    <x v="2"/>
    <x v="1"/>
    <x v="227"/>
    <n v="19184.93"/>
    <n v="7074.51"/>
    <x v="117"/>
    <n v="0.05"/>
    <n v="17465.07"/>
    <n v="10390.56"/>
    <n v="0.28350777626193724"/>
    <x v="5"/>
    <s v="Q2"/>
    <s v="2025"/>
  </r>
  <r>
    <x v="119"/>
    <x v="1"/>
    <x v="1"/>
    <x v="1"/>
    <x v="1"/>
    <x v="228"/>
    <n v="6042.53"/>
    <n v="2570.7199999999998"/>
    <x v="188"/>
    <n v="0.1"/>
    <n v="5769.47"/>
    <n v="3198.7500000000005"/>
    <n v="0.27080511344395536"/>
    <x v="5"/>
    <s v="Q2"/>
    <s v="2025"/>
  </r>
  <r>
    <x v="119"/>
    <x v="2"/>
    <x v="1"/>
    <x v="3"/>
    <x v="2"/>
    <x v="229"/>
    <n v="11863.86"/>
    <n v="4423.66"/>
    <x v="187"/>
    <n v="0.15"/>
    <n v="12437.14"/>
    <n v="8013.48"/>
    <n v="0.32975926916587794"/>
    <x v="5"/>
    <s v="Q2"/>
    <s v="2025"/>
  </r>
  <r>
    <x v="120"/>
    <x v="3"/>
    <x v="1"/>
    <x v="2"/>
    <x v="2"/>
    <x v="230"/>
    <n v="17935.54"/>
    <n v="4187.18"/>
    <x v="192"/>
    <n v="0"/>
    <n v="8322.4599999999991"/>
    <n v="4135.2799999999988"/>
    <n v="0.1574864803107624"/>
    <x v="5"/>
    <s v="Q2"/>
    <s v="2025"/>
  </r>
  <r>
    <x v="121"/>
    <x v="2"/>
    <x v="0"/>
    <x v="0"/>
    <x v="0"/>
    <x v="231"/>
    <n v="15384.52"/>
    <n v="4118.3999999999996"/>
    <x v="193"/>
    <n v="0.02"/>
    <n v="16256.48"/>
    <n v="12138.08"/>
    <n v="0.3836187225435353"/>
    <x v="5"/>
    <s v="Q2"/>
    <s v="2025"/>
  </r>
  <r>
    <x v="122"/>
    <x v="0"/>
    <x v="1"/>
    <x v="2"/>
    <x v="0"/>
    <x v="232"/>
    <n v="11498.85"/>
    <n v="2493.61"/>
    <x v="194"/>
    <n v="0.02"/>
    <n v="5320.15"/>
    <n v="2826.5399999999995"/>
    <n v="0.16805636482549494"/>
    <x v="5"/>
    <s v="Q2"/>
    <s v="2025"/>
  </r>
  <r>
    <x v="122"/>
    <x v="1"/>
    <x v="1"/>
    <x v="2"/>
    <x v="0"/>
    <x v="233"/>
    <n v="3461.19"/>
    <n v="589.61"/>
    <x v="195"/>
    <n v="0.15"/>
    <n v="2644.81"/>
    <n v="2055.1999999999998"/>
    <n v="0.33658696364231899"/>
    <x v="5"/>
    <s v="Q2"/>
    <s v="2025"/>
  </r>
  <r>
    <x v="123"/>
    <x v="0"/>
    <x v="1"/>
    <x v="3"/>
    <x v="0"/>
    <x v="234"/>
    <n v="10869.93"/>
    <n v="2604.84"/>
    <x v="12"/>
    <n v="0.15"/>
    <n v="5546.07"/>
    <n v="2941.2299999999996"/>
    <n v="0.17916849415204675"/>
    <x v="5"/>
    <s v="Q2"/>
    <s v="2025"/>
  </r>
  <r>
    <x v="123"/>
    <x v="3"/>
    <x v="0"/>
    <x v="2"/>
    <x v="1"/>
    <x v="235"/>
    <n v="23266.68"/>
    <n v="7173.63"/>
    <x v="196"/>
    <n v="0.1"/>
    <n v="21800.32"/>
    <n v="14626.689999999999"/>
    <n v="0.32455433021945101"/>
    <x v="5"/>
    <s v="Q2"/>
    <s v="2025"/>
  </r>
  <r>
    <x v="124"/>
    <x v="3"/>
    <x v="1"/>
    <x v="1"/>
    <x v="0"/>
    <x v="236"/>
    <n v="8065.25"/>
    <n v="1965.24"/>
    <x v="109"/>
    <n v="0.02"/>
    <n v="3427.75"/>
    <n v="1462.51"/>
    <n v="0.12725224049421388"/>
    <x v="5"/>
    <s v="Q2"/>
    <s v="2025"/>
  </r>
  <r>
    <x v="125"/>
    <x v="3"/>
    <x v="1"/>
    <x v="3"/>
    <x v="0"/>
    <x v="237"/>
    <n v="15259.91"/>
    <n v="4909.3599999999997"/>
    <x v="197"/>
    <n v="0.15"/>
    <n v="8444.09"/>
    <n v="3534.7300000000005"/>
    <n v="0.14911955788052653"/>
    <x v="5"/>
    <s v="Q2"/>
    <s v="2025"/>
  </r>
  <r>
    <x v="126"/>
    <x v="0"/>
    <x v="0"/>
    <x v="1"/>
    <x v="0"/>
    <x v="238"/>
    <n v="24944.42"/>
    <n v="9109.2199999999993"/>
    <x v="165"/>
    <n v="0.05"/>
    <n v="20894.580000000002"/>
    <n v="11785.360000000002"/>
    <n v="0.25710333995069706"/>
    <x v="5"/>
    <s v="Q2"/>
    <s v="2025"/>
  </r>
  <r>
    <x v="126"/>
    <x v="2"/>
    <x v="1"/>
    <x v="2"/>
    <x v="0"/>
    <x v="239"/>
    <n v="10803.93"/>
    <n v="2582.5700000000002"/>
    <x v="198"/>
    <n v="0.1"/>
    <n v="12425.07"/>
    <n v="9842.5"/>
    <n v="0.42371604459942314"/>
    <x v="5"/>
    <s v="Q2"/>
    <s v="2025"/>
  </r>
  <r>
    <x v="126"/>
    <x v="1"/>
    <x v="1"/>
    <x v="2"/>
    <x v="0"/>
    <x v="240"/>
    <n v="21466.1"/>
    <n v="4747.18"/>
    <x v="2"/>
    <n v="0.1"/>
    <n v="14987.900000000001"/>
    <n v="10240.720000000001"/>
    <n v="0.28092170955176388"/>
    <x v="5"/>
    <s v="Q2"/>
    <s v="2025"/>
  </r>
  <r>
    <x v="127"/>
    <x v="2"/>
    <x v="0"/>
    <x v="2"/>
    <x v="0"/>
    <x v="241"/>
    <n v="7409"/>
    <n v="1136.03"/>
    <x v="199"/>
    <n v="0.02"/>
    <n v="5138"/>
    <n v="4001.9700000000003"/>
    <n v="0.31895831672909863"/>
    <x v="5"/>
    <s v="Q2"/>
    <s v="2025"/>
  </r>
  <r>
    <x v="127"/>
    <x v="3"/>
    <x v="1"/>
    <x v="2"/>
    <x v="2"/>
    <x v="242"/>
    <n v="23682.080000000002"/>
    <n v="8910.58"/>
    <x v="200"/>
    <n v="0.1"/>
    <n v="23443.919999999998"/>
    <n v="14533.339999999998"/>
    <n v="0.30839324364469717"/>
    <x v="5"/>
    <s v="Q2"/>
    <s v="2025"/>
  </r>
  <r>
    <x v="128"/>
    <x v="3"/>
    <x v="1"/>
    <x v="1"/>
    <x v="2"/>
    <x v="243"/>
    <n v="6623.4"/>
    <n v="1257.3699999999999"/>
    <x v="201"/>
    <n v="0.05"/>
    <n v="5686.6"/>
    <n v="4429.2300000000005"/>
    <n v="0.3598074735987003"/>
    <x v="5"/>
    <s v="Q2"/>
    <s v="2025"/>
  </r>
  <r>
    <x v="129"/>
    <x v="0"/>
    <x v="0"/>
    <x v="3"/>
    <x v="1"/>
    <x v="244"/>
    <n v="14223.36"/>
    <n v="2395.56"/>
    <x v="202"/>
    <n v="0.15"/>
    <n v="10054.64"/>
    <n v="7659.08"/>
    <n v="0.31547409177032704"/>
    <x v="5"/>
    <s v="Q2"/>
    <s v="2025"/>
  </r>
  <r>
    <x v="130"/>
    <x v="2"/>
    <x v="1"/>
    <x v="3"/>
    <x v="0"/>
    <x v="245"/>
    <n v="16897.61"/>
    <n v="5481.09"/>
    <x v="16"/>
    <n v="0.15"/>
    <n v="15030.39"/>
    <n v="9549.2999999999993"/>
    <n v="0.29908857429215735"/>
    <x v="5"/>
    <s v="Q2"/>
    <s v="2025"/>
  </r>
  <r>
    <x v="131"/>
    <x v="2"/>
    <x v="1"/>
    <x v="1"/>
    <x v="1"/>
    <x v="246"/>
    <n v="12979"/>
    <n v="5290.13"/>
    <x v="197"/>
    <n v="0.05"/>
    <n v="12960"/>
    <n v="7669.87"/>
    <n v="0.29568873125409617"/>
    <x v="5"/>
    <s v="Q2"/>
    <s v="2025"/>
  </r>
  <r>
    <x v="131"/>
    <x v="2"/>
    <x v="0"/>
    <x v="2"/>
    <x v="1"/>
    <x v="247"/>
    <n v="21811.51"/>
    <n v="5810.08"/>
    <x v="26"/>
    <n v="0"/>
    <n v="8990.4900000000016"/>
    <n v="3180.4100000000017"/>
    <n v="0.10325336017141749"/>
    <x v="5"/>
    <s v="Q2"/>
    <s v="2025"/>
  </r>
  <r>
    <x v="132"/>
    <x v="1"/>
    <x v="0"/>
    <x v="0"/>
    <x v="0"/>
    <x v="248"/>
    <n v="30468.959999999999"/>
    <n v="7985.7"/>
    <x v="36"/>
    <n v="0.05"/>
    <n v="11263.04"/>
    <n v="3277.3400000000011"/>
    <n v="7.8533020224288347E-2"/>
    <x v="5"/>
    <s v="Q2"/>
    <s v="2025"/>
  </r>
  <r>
    <x v="132"/>
    <x v="0"/>
    <x v="1"/>
    <x v="0"/>
    <x v="2"/>
    <x v="249"/>
    <n v="13940.01"/>
    <n v="3370.21"/>
    <x v="66"/>
    <n v="0.05"/>
    <n v="5555.99"/>
    <n v="2185.7799999999997"/>
    <n v="0.11211427985227737"/>
    <x v="5"/>
    <s v="Q2"/>
    <s v="2025"/>
  </r>
  <r>
    <x v="133"/>
    <x v="1"/>
    <x v="1"/>
    <x v="1"/>
    <x v="0"/>
    <x v="250"/>
    <n v="12404.35"/>
    <n v="3230.33"/>
    <x v="81"/>
    <n v="0.02"/>
    <n v="6947.65"/>
    <n v="3717.3199999999997"/>
    <n v="0.19208970649028523"/>
    <x v="5"/>
    <s v="Q2"/>
    <s v="2025"/>
  </r>
  <r>
    <x v="133"/>
    <x v="1"/>
    <x v="1"/>
    <x v="2"/>
    <x v="2"/>
    <x v="251"/>
    <n v="7917.06"/>
    <n v="2518.66"/>
    <x v="203"/>
    <n v="0.15"/>
    <n v="8174.94"/>
    <n v="5656.28"/>
    <n v="0.35149639572458363"/>
    <x v="5"/>
    <s v="Q2"/>
    <s v="2025"/>
  </r>
  <r>
    <x v="134"/>
    <x v="0"/>
    <x v="0"/>
    <x v="1"/>
    <x v="1"/>
    <x v="252"/>
    <n v="22348.22"/>
    <n v="5387.25"/>
    <x v="13"/>
    <n v="0.15"/>
    <n v="14087.779999999999"/>
    <n v="8700.5299999999988"/>
    <n v="0.23878938412559003"/>
    <x v="6"/>
    <s v="Q3"/>
    <s v="2025"/>
  </r>
  <r>
    <x v="134"/>
    <x v="3"/>
    <x v="0"/>
    <x v="2"/>
    <x v="0"/>
    <x v="253"/>
    <n v="20655.62"/>
    <n v="3969.97"/>
    <x v="204"/>
    <n v="0.15"/>
    <n v="17591.38"/>
    <n v="13621.410000000002"/>
    <n v="0.35614322691975847"/>
    <x v="6"/>
    <s v="Q3"/>
    <s v="2025"/>
  </r>
  <r>
    <x v="134"/>
    <x v="1"/>
    <x v="1"/>
    <x v="3"/>
    <x v="2"/>
    <x v="254"/>
    <n v="8664.7199999999993"/>
    <n v="3590.43"/>
    <x v="10"/>
    <n v="0.1"/>
    <n v="8683.2800000000007"/>
    <n v="5092.8500000000004"/>
    <n v="0.29356986396126356"/>
    <x v="6"/>
    <s v="Q3"/>
    <s v="2025"/>
  </r>
  <r>
    <x v="135"/>
    <x v="2"/>
    <x v="1"/>
    <x v="3"/>
    <x v="0"/>
    <x v="255"/>
    <n v="32844.980000000003"/>
    <n v="10641.71"/>
    <x v="205"/>
    <n v="0.05"/>
    <n v="16481.019999999997"/>
    <n v="5839.3099999999977"/>
    <n v="0.11838198921461293"/>
    <x v="6"/>
    <s v="Q3"/>
    <s v="2025"/>
  </r>
  <r>
    <x v="135"/>
    <x v="2"/>
    <x v="0"/>
    <x v="0"/>
    <x v="1"/>
    <x v="256"/>
    <n v="5946.22"/>
    <n v="1695.84"/>
    <x v="66"/>
    <n v="0.15"/>
    <n v="2609.7799999999997"/>
    <n v="913.93999999999983"/>
    <n v="0.10681860682561943"/>
    <x v="6"/>
    <s v="Q3"/>
    <s v="2025"/>
  </r>
  <r>
    <x v="135"/>
    <x v="3"/>
    <x v="1"/>
    <x v="0"/>
    <x v="1"/>
    <x v="257"/>
    <n v="17179.96"/>
    <n v="4300.6400000000003"/>
    <x v="206"/>
    <n v="0.15"/>
    <n v="20730.04"/>
    <n v="16429.400000000001"/>
    <n v="0.43337905565813772"/>
    <x v="6"/>
    <s v="Q3"/>
    <s v="2025"/>
  </r>
  <r>
    <x v="136"/>
    <x v="3"/>
    <x v="0"/>
    <x v="2"/>
    <x v="2"/>
    <x v="258"/>
    <n v="28235.75"/>
    <n v="3477.91"/>
    <x v="165"/>
    <n v="0.1"/>
    <n v="12287.25"/>
    <n v="8809.34"/>
    <n v="0.21739111122078819"/>
    <x v="6"/>
    <s v="Q3"/>
    <s v="2025"/>
  </r>
  <r>
    <x v="137"/>
    <x v="0"/>
    <x v="1"/>
    <x v="0"/>
    <x v="2"/>
    <x v="259"/>
    <n v="24111.83"/>
    <n v="6191.15"/>
    <x v="207"/>
    <n v="0.1"/>
    <n v="9524.1699999999983"/>
    <n v="3333.0199999999986"/>
    <n v="9.9090855036270617E-2"/>
    <x v="6"/>
    <s v="Q3"/>
    <s v="2025"/>
  </r>
  <r>
    <x v="137"/>
    <x v="1"/>
    <x v="0"/>
    <x v="1"/>
    <x v="2"/>
    <x v="260"/>
    <n v="17417.41"/>
    <n v="5800.6"/>
    <x v="208"/>
    <n v="0.05"/>
    <n v="9290.59"/>
    <n v="3489.99"/>
    <n v="0.13067208327093005"/>
    <x v="6"/>
    <s v="Q3"/>
    <s v="2025"/>
  </r>
  <r>
    <x v="137"/>
    <x v="2"/>
    <x v="0"/>
    <x v="2"/>
    <x v="2"/>
    <x v="261"/>
    <n v="25579.18"/>
    <n v="4378.3"/>
    <x v="201"/>
    <n v="0"/>
    <n v="9218.82"/>
    <n v="4840.5199999999995"/>
    <n v="0.13910339674693947"/>
    <x v="6"/>
    <s v="Q3"/>
    <s v="2025"/>
  </r>
  <r>
    <x v="137"/>
    <x v="3"/>
    <x v="0"/>
    <x v="1"/>
    <x v="2"/>
    <x v="262"/>
    <n v="9755.77"/>
    <n v="3445.62"/>
    <x v="209"/>
    <n v="0.15"/>
    <n v="8395.23"/>
    <n v="4949.6099999999997"/>
    <n v="0.27269076083962313"/>
    <x v="6"/>
    <s v="Q3"/>
    <s v="2025"/>
  </r>
  <r>
    <x v="138"/>
    <x v="2"/>
    <x v="1"/>
    <x v="0"/>
    <x v="0"/>
    <x v="263"/>
    <n v="5728.42"/>
    <n v="1216.27"/>
    <x v="210"/>
    <n v="0.1"/>
    <n v="3790.58"/>
    <n v="2574.31"/>
    <n v="0.27043912175648704"/>
    <x v="6"/>
    <s v="Q3"/>
    <s v="2025"/>
  </r>
  <r>
    <x v="138"/>
    <x v="0"/>
    <x v="1"/>
    <x v="3"/>
    <x v="2"/>
    <x v="264"/>
    <n v="6482.1"/>
    <n v="1858.74"/>
    <x v="211"/>
    <n v="0.1"/>
    <n v="3762.8999999999996"/>
    <n v="1904.1599999999996"/>
    <n v="0.18586237188872617"/>
    <x v="6"/>
    <s v="Q3"/>
    <s v="2025"/>
  </r>
  <r>
    <x v="139"/>
    <x v="2"/>
    <x v="0"/>
    <x v="1"/>
    <x v="1"/>
    <x v="265"/>
    <n v="23147.279999999999"/>
    <n v="5466.94"/>
    <x v="212"/>
    <n v="0.05"/>
    <n v="10946.720000000001"/>
    <n v="5479.7800000000016"/>
    <n v="0.16072564087522737"/>
    <x v="6"/>
    <s v="Q3"/>
    <s v="2025"/>
  </r>
  <r>
    <x v="140"/>
    <x v="2"/>
    <x v="1"/>
    <x v="2"/>
    <x v="1"/>
    <x v="266"/>
    <n v="16805.490000000002"/>
    <n v="3571.12"/>
    <x v="213"/>
    <n v="0.02"/>
    <n v="10416.509999999998"/>
    <n v="6845.3899999999985"/>
    <n v="0.25146535890088895"/>
    <x v="6"/>
    <s v="Q3"/>
    <s v="2025"/>
  </r>
  <r>
    <x v="140"/>
    <x v="1"/>
    <x v="1"/>
    <x v="3"/>
    <x v="1"/>
    <x v="267"/>
    <n v="4249.6400000000003"/>
    <n v="1101.25"/>
    <x v="212"/>
    <n v="0.02"/>
    <n v="1672.3599999999997"/>
    <n v="571.10999999999967"/>
    <n v="9.643870314083075E-2"/>
    <x v="6"/>
    <s v="Q3"/>
    <s v="2025"/>
  </r>
  <r>
    <x v="141"/>
    <x v="3"/>
    <x v="0"/>
    <x v="2"/>
    <x v="0"/>
    <x v="268"/>
    <n v="7534.47"/>
    <n v="2967.23"/>
    <x v="193"/>
    <n v="0.15"/>
    <n v="7574.53"/>
    <n v="4607.2999999999993"/>
    <n v="0.3049374544973194"/>
    <x v="6"/>
    <s v="Q3"/>
    <s v="2025"/>
  </r>
  <r>
    <x v="141"/>
    <x v="0"/>
    <x v="0"/>
    <x v="0"/>
    <x v="1"/>
    <x v="269"/>
    <n v="18839.34"/>
    <n v="3689.95"/>
    <x v="214"/>
    <n v="0.05"/>
    <n v="6722.66"/>
    <n v="3032.71"/>
    <n v="0.11864134261794852"/>
    <x v="6"/>
    <s v="Q3"/>
    <s v="2025"/>
  </r>
  <r>
    <x v="141"/>
    <x v="0"/>
    <x v="1"/>
    <x v="3"/>
    <x v="2"/>
    <x v="270"/>
    <n v="6717.79"/>
    <n v="1771.23"/>
    <x v="215"/>
    <n v="0.02"/>
    <n v="3541.21"/>
    <n v="1769.98"/>
    <n v="0.17252948630470807"/>
    <x v="6"/>
    <s v="Q3"/>
    <s v="2025"/>
  </r>
  <r>
    <x v="142"/>
    <x v="2"/>
    <x v="0"/>
    <x v="2"/>
    <x v="2"/>
    <x v="271"/>
    <n v="21692.54"/>
    <n v="4632.82"/>
    <x v="75"/>
    <n v="0.05"/>
    <n v="13863.46"/>
    <n v="9230.64"/>
    <n v="0.25960850489368881"/>
    <x v="6"/>
    <s v="Q3"/>
    <s v="2025"/>
  </r>
  <r>
    <x v="142"/>
    <x v="1"/>
    <x v="1"/>
    <x v="0"/>
    <x v="0"/>
    <x v="272"/>
    <n v="7919.53"/>
    <n v="1967.73"/>
    <x v="216"/>
    <n v="0.02"/>
    <n v="8188.47"/>
    <n v="6220.74"/>
    <n v="0.38618947107027563"/>
    <x v="6"/>
    <s v="Q3"/>
    <s v="2025"/>
  </r>
  <r>
    <x v="142"/>
    <x v="2"/>
    <x v="0"/>
    <x v="2"/>
    <x v="0"/>
    <x v="273"/>
    <n v="18052.75"/>
    <n v="5721.88"/>
    <x v="173"/>
    <n v="0.02"/>
    <n v="10448.25"/>
    <n v="4726.37"/>
    <n v="0.16583172520262446"/>
    <x v="6"/>
    <s v="Q3"/>
    <s v="2025"/>
  </r>
  <r>
    <x v="143"/>
    <x v="3"/>
    <x v="0"/>
    <x v="1"/>
    <x v="0"/>
    <x v="274"/>
    <n v="29873.8"/>
    <n v="6827.05"/>
    <x v="208"/>
    <n v="0.02"/>
    <n v="15739.2"/>
    <n v="8912.1500000000015"/>
    <n v="0.19538618376340081"/>
    <x v="6"/>
    <s v="Q3"/>
    <s v="2025"/>
  </r>
  <r>
    <x v="143"/>
    <x v="1"/>
    <x v="1"/>
    <x v="0"/>
    <x v="0"/>
    <x v="275"/>
    <n v="8817.94"/>
    <n v="2399.12"/>
    <x v="140"/>
    <n v="0.15"/>
    <n v="4907.0599999999995"/>
    <n v="2507.9399999999996"/>
    <n v="0.18272786885245898"/>
    <x v="6"/>
    <s v="Q3"/>
    <s v="2025"/>
  </r>
  <r>
    <x v="144"/>
    <x v="2"/>
    <x v="0"/>
    <x v="2"/>
    <x v="1"/>
    <x v="276"/>
    <n v="9938.15"/>
    <n v="1336.13"/>
    <x v="69"/>
    <n v="0.05"/>
    <n v="5075.8500000000004"/>
    <n v="3739.7200000000003"/>
    <n v="0.24908218995604103"/>
    <x v="6"/>
    <s v="Q3"/>
    <s v="2025"/>
  </r>
  <r>
    <x v="144"/>
    <x v="2"/>
    <x v="0"/>
    <x v="3"/>
    <x v="0"/>
    <x v="277"/>
    <n v="14352.36"/>
    <n v="2792.25"/>
    <x v="217"/>
    <n v="0.1"/>
    <n v="5953.6399999999994"/>
    <n v="3161.3899999999994"/>
    <n v="0.15568748153255194"/>
    <x v="6"/>
    <s v="Q3"/>
    <s v="2025"/>
  </r>
  <r>
    <x v="144"/>
    <x v="2"/>
    <x v="0"/>
    <x v="0"/>
    <x v="1"/>
    <x v="278"/>
    <n v="25150"/>
    <n v="6241.01"/>
    <x v="218"/>
    <n v="0.1"/>
    <n v="16653"/>
    <n v="10411.99"/>
    <n v="0.24907279381862546"/>
    <x v="6"/>
    <s v="Q3"/>
    <s v="2025"/>
  </r>
  <r>
    <x v="145"/>
    <x v="1"/>
    <x v="1"/>
    <x v="2"/>
    <x v="0"/>
    <x v="279"/>
    <n v="22260.95"/>
    <n v="5972.46"/>
    <x v="168"/>
    <n v="0.15"/>
    <n v="15785.05"/>
    <n v="9812.59"/>
    <n v="0.25791384113967303"/>
    <x v="6"/>
    <s v="Q3"/>
    <s v="2025"/>
  </r>
  <r>
    <x v="146"/>
    <x v="3"/>
    <x v="0"/>
    <x v="2"/>
    <x v="2"/>
    <x v="280"/>
    <n v="25584.55"/>
    <n v="4325.6099999999997"/>
    <x v="219"/>
    <n v="0.1"/>
    <n v="19477.45"/>
    <n v="15151.84"/>
    <n v="0.33624428565088099"/>
    <x v="6"/>
    <s v="Q3"/>
    <s v="2025"/>
  </r>
  <r>
    <x v="146"/>
    <x v="2"/>
    <x v="1"/>
    <x v="1"/>
    <x v="0"/>
    <x v="281"/>
    <n v="30305.21"/>
    <n v="9790.24"/>
    <x v="220"/>
    <n v="0.1"/>
    <n v="17785.79"/>
    <n v="7995.5500000000011"/>
    <n v="0.16625875943523738"/>
    <x v="6"/>
    <s v="Q3"/>
    <s v="2025"/>
  </r>
  <r>
    <x v="147"/>
    <x v="2"/>
    <x v="1"/>
    <x v="3"/>
    <x v="0"/>
    <x v="282"/>
    <n v="16291.64"/>
    <n v="4250.37"/>
    <x v="221"/>
    <n v="0.1"/>
    <n v="6088.3600000000006"/>
    <n v="1837.9900000000007"/>
    <n v="8.2126452189454899E-2"/>
    <x v="6"/>
    <s v="Q3"/>
    <s v="2025"/>
  </r>
  <r>
    <x v="148"/>
    <x v="3"/>
    <x v="0"/>
    <x v="2"/>
    <x v="0"/>
    <x v="283"/>
    <n v="14086.05"/>
    <n v="3191.39"/>
    <x v="222"/>
    <n v="0.05"/>
    <n v="5547.9500000000007"/>
    <n v="2356.5600000000009"/>
    <n v="0.12002444738718554"/>
    <x v="6"/>
    <s v="Q3"/>
    <s v="2025"/>
  </r>
  <r>
    <x v="149"/>
    <x v="2"/>
    <x v="0"/>
    <x v="0"/>
    <x v="1"/>
    <x v="284"/>
    <n v="30500.87"/>
    <n v="5534.18"/>
    <x v="161"/>
    <n v="0.15"/>
    <n v="14901.130000000001"/>
    <n v="9366.9500000000007"/>
    <n v="0.20631139597374568"/>
    <x v="6"/>
    <s v="Q3"/>
    <s v="2025"/>
  </r>
  <r>
    <x v="149"/>
    <x v="1"/>
    <x v="0"/>
    <x v="0"/>
    <x v="2"/>
    <x v="285"/>
    <n v="19361.2"/>
    <n v="8606.64"/>
    <x v="223"/>
    <n v="0"/>
    <n v="20296.8"/>
    <n v="11690.16"/>
    <n v="0.29477432043975993"/>
    <x v="6"/>
    <s v="Q3"/>
    <s v="2025"/>
  </r>
  <r>
    <x v="149"/>
    <x v="3"/>
    <x v="1"/>
    <x v="0"/>
    <x v="2"/>
    <x v="286"/>
    <n v="14002.57"/>
    <n v="4596.68"/>
    <x v="224"/>
    <n v="0.15"/>
    <n v="14918.43"/>
    <n v="10321.75"/>
    <n v="0.35689464403028942"/>
    <x v="6"/>
    <s v="Q3"/>
    <s v="2025"/>
  </r>
  <r>
    <x v="149"/>
    <x v="1"/>
    <x v="0"/>
    <x v="2"/>
    <x v="2"/>
    <x v="287"/>
    <n v="11230.31"/>
    <n v="3622.82"/>
    <x v="225"/>
    <n v="0.05"/>
    <n v="7897.6900000000005"/>
    <n v="4274.8700000000008"/>
    <n v="0.22348755750731916"/>
    <x v="6"/>
    <s v="Q3"/>
    <s v="2025"/>
  </r>
  <r>
    <x v="150"/>
    <x v="3"/>
    <x v="0"/>
    <x v="1"/>
    <x v="0"/>
    <x v="288"/>
    <n v="20652.32"/>
    <n v="4809.33"/>
    <x v="191"/>
    <n v="0.02"/>
    <n v="23624.68"/>
    <n v="18815.349999999999"/>
    <n v="0.42494636041285538"/>
    <x v="6"/>
    <s v="Q3"/>
    <s v="2025"/>
  </r>
  <r>
    <x v="151"/>
    <x v="1"/>
    <x v="1"/>
    <x v="1"/>
    <x v="2"/>
    <x v="289"/>
    <n v="22101.759999999998"/>
    <n v="6825.84"/>
    <x v="226"/>
    <n v="0.15"/>
    <n v="14267.240000000002"/>
    <n v="7441.4000000000015"/>
    <n v="0.2046083202727598"/>
    <x v="6"/>
    <s v="Q3"/>
    <s v="2025"/>
  </r>
  <r>
    <x v="151"/>
    <x v="3"/>
    <x v="0"/>
    <x v="0"/>
    <x v="0"/>
    <x v="290"/>
    <n v="13927.61"/>
    <n v="4594.58"/>
    <x v="62"/>
    <n v="0.15"/>
    <n v="11987.39"/>
    <n v="7392.8099999999995"/>
    <n v="0.28527146440285545"/>
    <x v="6"/>
    <s v="Q3"/>
    <s v="2025"/>
  </r>
  <r>
    <x v="151"/>
    <x v="0"/>
    <x v="0"/>
    <x v="1"/>
    <x v="2"/>
    <x v="291"/>
    <n v="14271.95"/>
    <n v="3767.85"/>
    <x v="121"/>
    <n v="0.05"/>
    <n v="5003.0499999999993"/>
    <n v="1235.1999999999994"/>
    <n v="6.4083009079118E-2"/>
    <x v="6"/>
    <s v="Q3"/>
    <s v="2025"/>
  </r>
  <r>
    <x v="151"/>
    <x v="2"/>
    <x v="0"/>
    <x v="3"/>
    <x v="0"/>
    <x v="292"/>
    <n v="33905.1"/>
    <n v="8179.35"/>
    <x v="96"/>
    <n v="0.05"/>
    <n v="12736.900000000001"/>
    <n v="4557.5500000000011"/>
    <n v="9.7713434243814609E-2"/>
    <x v="6"/>
    <s v="Q3"/>
    <s v="2025"/>
  </r>
  <r>
    <x v="151"/>
    <x v="0"/>
    <x v="0"/>
    <x v="1"/>
    <x v="0"/>
    <x v="293"/>
    <n v="10531.75"/>
    <n v="3481.36"/>
    <x v="28"/>
    <n v="0.02"/>
    <n v="7817.25"/>
    <n v="4335.8899999999994"/>
    <n v="0.23630116082620303"/>
    <x v="6"/>
    <s v="Q3"/>
    <s v="2025"/>
  </r>
  <r>
    <x v="152"/>
    <x v="1"/>
    <x v="0"/>
    <x v="2"/>
    <x v="2"/>
    <x v="294"/>
    <n v="6679.12"/>
    <n v="1614.98"/>
    <x v="70"/>
    <n v="0.05"/>
    <n v="3721.88"/>
    <n v="2106.9"/>
    <n v="0.20256706085953274"/>
    <x v="6"/>
    <s v="Q3"/>
    <s v="2025"/>
  </r>
  <r>
    <x v="153"/>
    <x v="2"/>
    <x v="1"/>
    <x v="0"/>
    <x v="1"/>
    <x v="295"/>
    <n v="18797.68"/>
    <n v="2595.5300000000002"/>
    <x v="86"/>
    <n v="0.02"/>
    <n v="8438.32"/>
    <n v="5842.7899999999991"/>
    <n v="0.21452452636216768"/>
    <x v="6"/>
    <s v="Q3"/>
    <s v="2025"/>
  </r>
  <r>
    <x v="153"/>
    <x v="2"/>
    <x v="0"/>
    <x v="2"/>
    <x v="1"/>
    <x v="296"/>
    <n v="27009.14"/>
    <n v="3104.16"/>
    <x v="17"/>
    <n v="0.15"/>
    <n v="11714.86"/>
    <n v="8610.7000000000007"/>
    <n v="0.22236080983369488"/>
    <x v="6"/>
    <s v="Q3"/>
    <s v="2025"/>
  </r>
  <r>
    <x v="153"/>
    <x v="2"/>
    <x v="0"/>
    <x v="3"/>
    <x v="1"/>
    <x v="297"/>
    <n v="9167.9699999999993"/>
    <n v="2529.25"/>
    <x v="178"/>
    <n v="0"/>
    <n v="5259.0300000000007"/>
    <n v="2729.7800000000007"/>
    <n v="0.18921328065432874"/>
    <x v="6"/>
    <s v="Q3"/>
    <s v="2025"/>
  </r>
  <r>
    <x v="153"/>
    <x v="0"/>
    <x v="1"/>
    <x v="0"/>
    <x v="0"/>
    <x v="298"/>
    <n v="14754.58"/>
    <n v="5023.57"/>
    <x v="168"/>
    <n v="0"/>
    <n v="17268.419999999998"/>
    <n v="12244.849999999999"/>
    <n v="0.38237672922586885"/>
    <x v="6"/>
    <s v="Q3"/>
    <s v="2025"/>
  </r>
  <r>
    <x v="154"/>
    <x v="3"/>
    <x v="1"/>
    <x v="0"/>
    <x v="0"/>
    <x v="299"/>
    <n v="16812.87"/>
    <n v="4377.96"/>
    <x v="227"/>
    <n v="0"/>
    <n v="13042.130000000001"/>
    <n v="8664.1700000000019"/>
    <n v="0.29020834031150566"/>
    <x v="6"/>
    <s v="Q3"/>
    <s v="2025"/>
  </r>
  <r>
    <x v="154"/>
    <x v="0"/>
    <x v="1"/>
    <x v="0"/>
    <x v="2"/>
    <x v="300"/>
    <n v="20429.189999999999"/>
    <n v="4920.62"/>
    <x v="16"/>
    <n v="0.02"/>
    <n v="10015.810000000001"/>
    <n v="5095.1900000000014"/>
    <n v="0.16735720151092137"/>
    <x v="6"/>
    <s v="Q3"/>
    <s v="2025"/>
  </r>
  <r>
    <x v="154"/>
    <x v="1"/>
    <x v="1"/>
    <x v="0"/>
    <x v="1"/>
    <x v="301"/>
    <n v="19553.080000000002"/>
    <n v="3608.82"/>
    <x v="109"/>
    <n v="0.1"/>
    <n v="8573.9199999999983"/>
    <n v="4965.0999999999985"/>
    <n v="0.17652433604721438"/>
    <x v="6"/>
    <s v="Q3"/>
    <s v="2025"/>
  </r>
  <r>
    <x v="155"/>
    <x v="2"/>
    <x v="1"/>
    <x v="2"/>
    <x v="0"/>
    <x v="302"/>
    <n v="22824.17"/>
    <n v="4207.04"/>
    <x v="228"/>
    <n v="0.1"/>
    <n v="14194.830000000002"/>
    <n v="9987.7900000000009"/>
    <n v="0.26980172343931497"/>
    <x v="6"/>
    <s v="Q3"/>
    <s v="2025"/>
  </r>
  <r>
    <x v="155"/>
    <x v="1"/>
    <x v="1"/>
    <x v="0"/>
    <x v="2"/>
    <x v="303"/>
    <n v="5747.39"/>
    <n v="2197.13"/>
    <x v="229"/>
    <n v="0.1"/>
    <n v="5360.61"/>
    <n v="3163.4799999999996"/>
    <n v="0.28479294202376659"/>
    <x v="6"/>
    <s v="Q3"/>
    <s v="2025"/>
  </r>
  <r>
    <x v="156"/>
    <x v="2"/>
    <x v="1"/>
    <x v="3"/>
    <x v="2"/>
    <x v="304"/>
    <n v="17619.53"/>
    <n v="7311.95"/>
    <x v="80"/>
    <n v="0"/>
    <n v="21018.47"/>
    <n v="13706.52"/>
    <n v="0.35474196386976553"/>
    <x v="6"/>
    <s v="Q3"/>
    <s v="2025"/>
  </r>
  <r>
    <x v="157"/>
    <x v="3"/>
    <x v="1"/>
    <x v="3"/>
    <x v="1"/>
    <x v="305"/>
    <n v="3384.99"/>
    <n v="633.54"/>
    <x v="224"/>
    <n v="0.02"/>
    <n v="3086.01"/>
    <n v="2452.4700000000003"/>
    <n v="0.37899397311080207"/>
    <x v="6"/>
    <s v="Q3"/>
    <s v="2025"/>
  </r>
  <r>
    <x v="158"/>
    <x v="3"/>
    <x v="0"/>
    <x v="3"/>
    <x v="2"/>
    <x v="306"/>
    <n v="3337.23"/>
    <n v="1387.25"/>
    <x v="230"/>
    <n v="0.1"/>
    <n v="3286.77"/>
    <n v="1899.52"/>
    <n v="0.2867632850241546"/>
    <x v="6"/>
    <s v="Q3"/>
    <s v="2025"/>
  </r>
  <r>
    <x v="158"/>
    <x v="0"/>
    <x v="0"/>
    <x v="1"/>
    <x v="2"/>
    <x v="307"/>
    <n v="19000.12"/>
    <n v="3695.99"/>
    <x v="231"/>
    <n v="0"/>
    <n v="8211.880000000001"/>
    <n v="4515.8900000000012"/>
    <n v="0.16595215346170811"/>
    <x v="6"/>
    <s v="Q3"/>
    <s v="2025"/>
  </r>
  <r>
    <x v="159"/>
    <x v="1"/>
    <x v="1"/>
    <x v="3"/>
    <x v="2"/>
    <x v="308"/>
    <n v="13798.28"/>
    <n v="2360.5100000000002"/>
    <x v="150"/>
    <n v="0"/>
    <n v="12168.72"/>
    <n v="9808.2099999999991"/>
    <n v="0.3777182577887318"/>
    <x v="7"/>
    <s v="Q3"/>
    <s v="2025"/>
  </r>
  <r>
    <x v="160"/>
    <x v="2"/>
    <x v="1"/>
    <x v="0"/>
    <x v="2"/>
    <x v="309"/>
    <n v="11375.03"/>
    <n v="2369.75"/>
    <x v="167"/>
    <n v="0.05"/>
    <n v="4525.9699999999993"/>
    <n v="2156.2199999999993"/>
    <n v="0.13560279227721522"/>
    <x v="7"/>
    <s v="Q3"/>
    <s v="2025"/>
  </r>
  <r>
    <x v="160"/>
    <x v="2"/>
    <x v="0"/>
    <x v="2"/>
    <x v="0"/>
    <x v="310"/>
    <n v="26307.15"/>
    <n v="8463.68"/>
    <x v="124"/>
    <n v="0.02"/>
    <n v="13787.849999999999"/>
    <n v="5324.1699999999983"/>
    <n v="0.13278887641850601"/>
    <x v="7"/>
    <s v="Q3"/>
    <s v="2025"/>
  </r>
  <r>
    <x v="161"/>
    <x v="2"/>
    <x v="0"/>
    <x v="2"/>
    <x v="0"/>
    <x v="311"/>
    <n v="22021.59"/>
    <n v="4937.8999999999996"/>
    <x v="232"/>
    <n v="0"/>
    <n v="8502.41"/>
    <n v="3564.51"/>
    <n v="0.11677729000131046"/>
    <x v="7"/>
    <s v="Q3"/>
    <s v="2025"/>
  </r>
  <r>
    <x v="161"/>
    <x v="2"/>
    <x v="1"/>
    <x v="0"/>
    <x v="1"/>
    <x v="312"/>
    <n v="14669.82"/>
    <n v="2236.91"/>
    <x v="233"/>
    <n v="0.02"/>
    <n v="9974.18"/>
    <n v="7737.27"/>
    <n v="0.31396161337445222"/>
    <x v="7"/>
    <s v="Q3"/>
    <s v="2025"/>
  </r>
  <r>
    <x v="162"/>
    <x v="0"/>
    <x v="0"/>
    <x v="3"/>
    <x v="2"/>
    <x v="313"/>
    <n v="7246.22"/>
    <n v="1837.27"/>
    <x v="77"/>
    <n v="0.1"/>
    <n v="8804.7799999999988"/>
    <n v="6967.5099999999984"/>
    <n v="0.43408572674599705"/>
    <x v="7"/>
    <s v="Q3"/>
    <s v="2025"/>
  </r>
  <r>
    <x v="163"/>
    <x v="1"/>
    <x v="0"/>
    <x v="2"/>
    <x v="2"/>
    <x v="314"/>
    <n v="21237.34"/>
    <n v="5222.1899999999996"/>
    <x v="40"/>
    <n v="0"/>
    <n v="13177.66"/>
    <n v="7955.47"/>
    <n v="0.23116286502978353"/>
    <x v="7"/>
    <s v="Q3"/>
    <s v="2025"/>
  </r>
  <r>
    <x v="163"/>
    <x v="3"/>
    <x v="0"/>
    <x v="1"/>
    <x v="1"/>
    <x v="315"/>
    <n v="35380.93"/>
    <n v="4721.67"/>
    <x v="234"/>
    <n v="0.15"/>
    <n v="12285.07"/>
    <n v="7563.4"/>
    <n v="0.15867494650274827"/>
    <x v="7"/>
    <s v="Q3"/>
    <s v="2025"/>
  </r>
  <r>
    <x v="164"/>
    <x v="1"/>
    <x v="0"/>
    <x v="3"/>
    <x v="0"/>
    <x v="316"/>
    <n v="18488.46"/>
    <n v="3426.74"/>
    <x v="51"/>
    <n v="0.15"/>
    <n v="9165.5400000000009"/>
    <n v="5738.8000000000011"/>
    <n v="0.20752151587473788"/>
    <x v="7"/>
    <s v="Q3"/>
    <s v="2025"/>
  </r>
  <r>
    <x v="164"/>
    <x v="1"/>
    <x v="1"/>
    <x v="3"/>
    <x v="2"/>
    <x v="317"/>
    <n v="26924.53"/>
    <n v="6515.2"/>
    <x v="235"/>
    <n v="0.1"/>
    <n v="19591.47"/>
    <n v="13076.27"/>
    <n v="0.28111338034224786"/>
    <x v="7"/>
    <s v="Q3"/>
    <s v="2025"/>
  </r>
  <r>
    <x v="165"/>
    <x v="3"/>
    <x v="0"/>
    <x v="3"/>
    <x v="2"/>
    <x v="318"/>
    <n v="16892.82"/>
    <n v="4679.17"/>
    <x v="81"/>
    <n v="0.1"/>
    <n v="19934.18"/>
    <n v="15255.01"/>
    <n v="0.41423439324408723"/>
    <x v="7"/>
    <s v="Q3"/>
    <s v="2025"/>
  </r>
  <r>
    <x v="166"/>
    <x v="3"/>
    <x v="0"/>
    <x v="2"/>
    <x v="2"/>
    <x v="319"/>
    <n v="17884.009999999998"/>
    <n v="7950.3"/>
    <x v="55"/>
    <n v="0.02"/>
    <n v="18881.990000000002"/>
    <n v="10931.690000000002"/>
    <n v="0.29733150193113211"/>
    <x v="7"/>
    <s v="Q3"/>
    <s v="2025"/>
  </r>
  <r>
    <x v="166"/>
    <x v="0"/>
    <x v="0"/>
    <x v="0"/>
    <x v="0"/>
    <x v="320"/>
    <n v="20522.23"/>
    <n v="5589.1"/>
    <x v="236"/>
    <n v="0.05"/>
    <n v="13274.77"/>
    <n v="7685.67"/>
    <n v="0.22740687043228688"/>
    <x v="7"/>
    <s v="Q3"/>
    <s v="2025"/>
  </r>
  <r>
    <x v="167"/>
    <x v="0"/>
    <x v="0"/>
    <x v="1"/>
    <x v="0"/>
    <x v="321"/>
    <n v="19190.490000000002"/>
    <n v="3499.86"/>
    <x v="51"/>
    <n v="0.02"/>
    <n v="13047.509999999998"/>
    <n v="9547.6499999999978"/>
    <n v="0.29616136236739243"/>
    <x v="7"/>
    <s v="Q3"/>
    <s v="2025"/>
  </r>
  <r>
    <x v="167"/>
    <x v="3"/>
    <x v="0"/>
    <x v="2"/>
    <x v="0"/>
    <x v="322"/>
    <n v="3757.63"/>
    <n v="1375.63"/>
    <x v="237"/>
    <n v="0.15"/>
    <n v="4254.37"/>
    <n v="2878.74"/>
    <n v="0.35930354468297548"/>
    <x v="7"/>
    <s v="Q3"/>
    <s v="2025"/>
  </r>
  <r>
    <x v="168"/>
    <x v="2"/>
    <x v="1"/>
    <x v="0"/>
    <x v="1"/>
    <x v="323"/>
    <n v="8252.64"/>
    <n v="2275.71"/>
    <x v="238"/>
    <n v="0"/>
    <n v="4364.3600000000006"/>
    <n v="2088.6500000000005"/>
    <n v="0.16554252199413494"/>
    <x v="7"/>
    <s v="Q3"/>
    <s v="2025"/>
  </r>
  <r>
    <x v="169"/>
    <x v="3"/>
    <x v="1"/>
    <x v="1"/>
    <x v="0"/>
    <x v="324"/>
    <n v="14573.39"/>
    <n v="3452.27"/>
    <x v="239"/>
    <n v="0.02"/>
    <n v="15346.61"/>
    <n v="11894.34"/>
    <n v="0.3975381016042781"/>
    <x v="7"/>
    <s v="Q3"/>
    <s v="2025"/>
  </r>
  <r>
    <x v="169"/>
    <x v="1"/>
    <x v="0"/>
    <x v="2"/>
    <x v="1"/>
    <x v="325"/>
    <n v="24869.82"/>
    <n v="8507.5"/>
    <x v="240"/>
    <n v="0.05"/>
    <n v="17684.18"/>
    <n v="9176.68"/>
    <n v="0.21564788269022889"/>
    <x v="7"/>
    <s v="Q3"/>
    <s v="2025"/>
  </r>
  <r>
    <x v="170"/>
    <x v="3"/>
    <x v="1"/>
    <x v="3"/>
    <x v="1"/>
    <x v="326"/>
    <n v="14275.71"/>
    <n v="2287.0700000000002"/>
    <x v="18"/>
    <n v="0.1"/>
    <n v="4786.2900000000009"/>
    <n v="2499.2200000000007"/>
    <n v="0.13111006190326308"/>
    <x v="7"/>
    <s v="Q3"/>
    <s v="2025"/>
  </r>
  <r>
    <x v="170"/>
    <x v="1"/>
    <x v="0"/>
    <x v="1"/>
    <x v="2"/>
    <x v="327"/>
    <n v="16562.53"/>
    <n v="2750.76"/>
    <x v="241"/>
    <n v="0.15"/>
    <n v="5934.4700000000012"/>
    <n v="3183.7100000000009"/>
    <n v="0.1415170911677113"/>
    <x v="7"/>
    <s v="Q3"/>
    <s v="2025"/>
  </r>
  <r>
    <x v="171"/>
    <x v="2"/>
    <x v="1"/>
    <x v="3"/>
    <x v="2"/>
    <x v="328"/>
    <n v="33464.769999999997"/>
    <n v="9013.4500000000007"/>
    <x v="242"/>
    <n v="0.02"/>
    <n v="11284.230000000003"/>
    <n v="2270.7800000000025"/>
    <n v="5.0744821113321022E-2"/>
    <x v="7"/>
    <s v="Q3"/>
    <s v="2025"/>
  </r>
  <r>
    <x v="172"/>
    <x v="3"/>
    <x v="1"/>
    <x v="3"/>
    <x v="2"/>
    <x v="329"/>
    <n v="8169.04"/>
    <n v="2323.9899999999998"/>
    <x v="243"/>
    <n v="0"/>
    <n v="3613.96"/>
    <n v="1289.9700000000003"/>
    <n v="0.10947721293388783"/>
    <x v="7"/>
    <s v="Q3"/>
    <s v="2025"/>
  </r>
  <r>
    <x v="173"/>
    <x v="0"/>
    <x v="1"/>
    <x v="1"/>
    <x v="0"/>
    <x v="330"/>
    <n v="11740.33"/>
    <n v="2321.88"/>
    <x v="244"/>
    <n v="0.05"/>
    <n v="4574.67"/>
    <n v="2252.79"/>
    <n v="0.13808090714066809"/>
    <x v="7"/>
    <s v="Q3"/>
    <s v="2025"/>
  </r>
  <r>
    <x v="173"/>
    <x v="3"/>
    <x v="1"/>
    <x v="2"/>
    <x v="1"/>
    <x v="331"/>
    <n v="27944.06"/>
    <n v="4764.0600000000004"/>
    <x v="245"/>
    <n v="0"/>
    <n v="13489.939999999999"/>
    <n v="8725.8799999999974"/>
    <n v="0.21059709417386682"/>
    <x v="7"/>
    <s v="Q3"/>
    <s v="2025"/>
  </r>
  <r>
    <x v="174"/>
    <x v="2"/>
    <x v="0"/>
    <x v="2"/>
    <x v="1"/>
    <x v="332"/>
    <n v="13790.32"/>
    <n v="4986.71"/>
    <x v="246"/>
    <n v="0.15"/>
    <n v="15667.68"/>
    <n v="10680.970000000001"/>
    <n v="0.36258299952474715"/>
    <x v="7"/>
    <s v="Q3"/>
    <s v="2025"/>
  </r>
  <r>
    <x v="175"/>
    <x v="3"/>
    <x v="0"/>
    <x v="3"/>
    <x v="0"/>
    <x v="333"/>
    <n v="34259.81"/>
    <n v="10030.780000000001"/>
    <x v="247"/>
    <n v="0.15"/>
    <n v="11448.190000000002"/>
    <n v="1417.4100000000017"/>
    <n v="3.101010763980051E-2"/>
    <x v="7"/>
    <s v="Q3"/>
    <s v="2025"/>
  </r>
  <r>
    <x v="175"/>
    <x v="0"/>
    <x v="0"/>
    <x v="0"/>
    <x v="2"/>
    <x v="334"/>
    <n v="3993.82"/>
    <n v="639.36"/>
    <x v="248"/>
    <n v="0"/>
    <n v="3429.18"/>
    <n v="2789.8199999999997"/>
    <n v="0.37583456823386768"/>
    <x v="7"/>
    <s v="Q3"/>
    <s v="2025"/>
  </r>
  <r>
    <x v="175"/>
    <x v="1"/>
    <x v="1"/>
    <x v="1"/>
    <x v="2"/>
    <x v="335"/>
    <n v="28302.82"/>
    <n v="7876.71"/>
    <x v="143"/>
    <n v="0.15"/>
    <n v="13767.18"/>
    <n v="5890.47"/>
    <n v="0.14001592583788924"/>
    <x v="7"/>
    <s v="Q3"/>
    <s v="2025"/>
  </r>
  <r>
    <x v="176"/>
    <x v="3"/>
    <x v="0"/>
    <x v="2"/>
    <x v="1"/>
    <x v="336"/>
    <n v="15858.91"/>
    <n v="6258.77"/>
    <x v="116"/>
    <n v="0.15"/>
    <n v="14008.09"/>
    <n v="7749.32"/>
    <n v="0.25946094351625537"/>
    <x v="7"/>
    <s v="Q3"/>
    <s v="2025"/>
  </r>
  <r>
    <x v="176"/>
    <x v="1"/>
    <x v="0"/>
    <x v="0"/>
    <x v="2"/>
    <x v="337"/>
    <n v="15967.74"/>
    <n v="4556.2700000000004"/>
    <x v="221"/>
    <n v="0"/>
    <n v="18648.260000000002"/>
    <n v="14091.990000000002"/>
    <n v="0.40709469609429172"/>
    <x v="7"/>
    <s v="Q3"/>
    <s v="2025"/>
  </r>
  <r>
    <x v="177"/>
    <x v="2"/>
    <x v="1"/>
    <x v="1"/>
    <x v="0"/>
    <x v="338"/>
    <n v="31037.49"/>
    <n v="7433.48"/>
    <x v="249"/>
    <n v="0"/>
    <n v="18497.509999999998"/>
    <n v="11064.029999999999"/>
    <n v="0.22335782779852628"/>
    <x v="7"/>
    <s v="Q3"/>
    <s v="2025"/>
  </r>
  <r>
    <x v="178"/>
    <x v="0"/>
    <x v="0"/>
    <x v="0"/>
    <x v="0"/>
    <x v="339"/>
    <n v="15917.34"/>
    <n v="3473.93"/>
    <x v="100"/>
    <n v="0.02"/>
    <n v="11885.66"/>
    <n v="8411.73"/>
    <n v="0.30254756680933709"/>
    <x v="7"/>
    <s v="Q3"/>
    <s v="2025"/>
  </r>
  <r>
    <x v="178"/>
    <x v="0"/>
    <x v="0"/>
    <x v="0"/>
    <x v="1"/>
    <x v="340"/>
    <n v="9926.64"/>
    <n v="3766.18"/>
    <x v="250"/>
    <n v="0.1"/>
    <n v="7788.3600000000006"/>
    <n v="4022.1800000000007"/>
    <n v="0.2270493931696303"/>
    <x v="7"/>
    <s v="Q3"/>
    <s v="2025"/>
  </r>
  <r>
    <x v="178"/>
    <x v="3"/>
    <x v="1"/>
    <x v="2"/>
    <x v="0"/>
    <x v="341"/>
    <n v="18821.64"/>
    <n v="3427.52"/>
    <x v="202"/>
    <n v="0"/>
    <n v="7164.3600000000006"/>
    <n v="3736.8400000000006"/>
    <n v="0.1438020472562149"/>
    <x v="7"/>
    <s v="Q3"/>
    <s v="2025"/>
  </r>
  <r>
    <x v="179"/>
    <x v="1"/>
    <x v="0"/>
    <x v="1"/>
    <x v="1"/>
    <x v="342"/>
    <n v="9957.76"/>
    <n v="3684.4"/>
    <x v="221"/>
    <n v="0.05"/>
    <n v="11643.24"/>
    <n v="7958.84"/>
    <n v="0.36844775704828481"/>
    <x v="7"/>
    <s v="Q3"/>
    <s v="2025"/>
  </r>
  <r>
    <x v="180"/>
    <x v="2"/>
    <x v="1"/>
    <x v="1"/>
    <x v="0"/>
    <x v="343"/>
    <n v="18204.990000000002"/>
    <n v="3953.59"/>
    <x v="227"/>
    <n v="0.05"/>
    <n v="16290.009999999998"/>
    <n v="12336.419999999998"/>
    <n v="0.3576292216263226"/>
    <x v="8"/>
    <s v="Q3"/>
    <s v="2025"/>
  </r>
  <r>
    <x v="180"/>
    <x v="0"/>
    <x v="0"/>
    <x v="0"/>
    <x v="2"/>
    <x v="344"/>
    <n v="16252.59"/>
    <n v="1872.1"/>
    <x v="251"/>
    <n v="0.05"/>
    <n v="6348.41"/>
    <n v="4476.3099999999995"/>
    <n v="0.19805805052873765"/>
    <x v="8"/>
    <s v="Q3"/>
    <s v="2025"/>
  </r>
  <r>
    <x v="180"/>
    <x v="1"/>
    <x v="1"/>
    <x v="0"/>
    <x v="2"/>
    <x v="345"/>
    <n v="28528.91"/>
    <n v="9188.27"/>
    <x v="214"/>
    <n v="0.15"/>
    <n v="16759.09"/>
    <n v="7570.82"/>
    <n v="0.16717055290584701"/>
    <x v="8"/>
    <s v="Q3"/>
    <s v="2025"/>
  </r>
  <r>
    <x v="181"/>
    <x v="1"/>
    <x v="1"/>
    <x v="0"/>
    <x v="0"/>
    <x v="346"/>
    <n v="18701.2"/>
    <n v="7286.94"/>
    <x v="252"/>
    <n v="0.1"/>
    <n v="15164.8"/>
    <n v="7877.86"/>
    <n v="0.23261855548337565"/>
    <x v="8"/>
    <s v="Q3"/>
    <s v="2025"/>
  </r>
  <r>
    <x v="181"/>
    <x v="1"/>
    <x v="1"/>
    <x v="1"/>
    <x v="2"/>
    <x v="347"/>
    <n v="18099.27"/>
    <n v="2978.99"/>
    <x v="253"/>
    <n v="0.1"/>
    <n v="13220.73"/>
    <n v="10241.74"/>
    <n v="0.32700319284802043"/>
    <x v="8"/>
    <s v="Q3"/>
    <s v="2025"/>
  </r>
  <r>
    <x v="182"/>
    <x v="0"/>
    <x v="1"/>
    <x v="3"/>
    <x v="2"/>
    <x v="348"/>
    <n v="15182.5"/>
    <n v="5159.1000000000004"/>
    <x v="167"/>
    <n v="0.1"/>
    <n v="12435.5"/>
    <n v="7276.4"/>
    <n v="0.26346585560141933"/>
    <x v="8"/>
    <s v="Q3"/>
    <s v="2025"/>
  </r>
  <r>
    <x v="182"/>
    <x v="0"/>
    <x v="1"/>
    <x v="1"/>
    <x v="1"/>
    <x v="349"/>
    <n v="16496.61"/>
    <n v="3933.02"/>
    <x v="232"/>
    <n v="0.1"/>
    <n v="11329.39"/>
    <n v="7396.369999999999"/>
    <n v="0.26580787752461721"/>
    <x v="8"/>
    <s v="Q3"/>
    <s v="2025"/>
  </r>
  <r>
    <x v="182"/>
    <x v="1"/>
    <x v="0"/>
    <x v="2"/>
    <x v="0"/>
    <x v="350"/>
    <n v="14183.48"/>
    <n v="4493.8100000000004"/>
    <x v="26"/>
    <n v="0.1"/>
    <n v="6759.52"/>
    <n v="2265.71"/>
    <n v="0.10818459628515495"/>
    <x v="8"/>
    <s v="Q3"/>
    <s v="2025"/>
  </r>
  <r>
    <x v="183"/>
    <x v="2"/>
    <x v="1"/>
    <x v="1"/>
    <x v="2"/>
    <x v="351"/>
    <n v="7088.27"/>
    <n v="1473.91"/>
    <x v="166"/>
    <n v="0.02"/>
    <n v="2446.7299999999996"/>
    <n v="972.81999999999948"/>
    <n v="0.10202621919244882"/>
    <x v="8"/>
    <s v="Q3"/>
    <s v="2025"/>
  </r>
  <r>
    <x v="183"/>
    <x v="2"/>
    <x v="1"/>
    <x v="0"/>
    <x v="0"/>
    <x v="352"/>
    <n v="11648.1"/>
    <n v="3451.37"/>
    <x v="254"/>
    <n v="0.15"/>
    <n v="7391.9"/>
    <n v="3940.5299999999997"/>
    <n v="0.20696060924369747"/>
    <x v="8"/>
    <s v="Q3"/>
    <s v="2025"/>
  </r>
  <r>
    <x v="184"/>
    <x v="3"/>
    <x v="1"/>
    <x v="0"/>
    <x v="1"/>
    <x v="353"/>
    <n v="11926.04"/>
    <n v="2787.12"/>
    <x v="95"/>
    <n v="0.02"/>
    <n v="5880.9599999999991"/>
    <n v="3093.8399999999992"/>
    <n v="0.173742910091537"/>
    <x v="8"/>
    <s v="Q3"/>
    <s v="2025"/>
  </r>
  <r>
    <x v="184"/>
    <x v="0"/>
    <x v="1"/>
    <x v="3"/>
    <x v="1"/>
    <x v="354"/>
    <n v="9893.82"/>
    <n v="2612.85"/>
    <x v="255"/>
    <n v="0"/>
    <n v="4310.18"/>
    <n v="1697.3300000000004"/>
    <n v="0.11949662067023377"/>
    <x v="8"/>
    <s v="Q3"/>
    <s v="2025"/>
  </r>
  <r>
    <x v="185"/>
    <x v="1"/>
    <x v="1"/>
    <x v="0"/>
    <x v="1"/>
    <x v="355"/>
    <n v="31559.8"/>
    <n v="7577.35"/>
    <x v="256"/>
    <n v="0.05"/>
    <n v="12598.2"/>
    <n v="5020.8500000000004"/>
    <n v="0.11370193396440056"/>
    <x v="8"/>
    <s v="Q3"/>
    <s v="2025"/>
  </r>
  <r>
    <x v="185"/>
    <x v="0"/>
    <x v="1"/>
    <x v="2"/>
    <x v="2"/>
    <x v="356"/>
    <n v="15304.1"/>
    <n v="6722.52"/>
    <x v="211"/>
    <n v="0.15"/>
    <n v="18463.900000000001"/>
    <n v="11741.380000000001"/>
    <n v="0.34770729684908791"/>
    <x v="8"/>
    <s v="Q3"/>
    <s v="2025"/>
  </r>
  <r>
    <x v="186"/>
    <x v="2"/>
    <x v="1"/>
    <x v="0"/>
    <x v="2"/>
    <x v="357"/>
    <n v="21145.32"/>
    <n v="4439.5600000000004"/>
    <x v="82"/>
    <n v="0"/>
    <n v="7928.68"/>
    <n v="3489.12"/>
    <n v="0.1200082547981014"/>
    <x v="8"/>
    <s v="Q3"/>
    <s v="2025"/>
  </r>
  <r>
    <x v="187"/>
    <x v="0"/>
    <x v="0"/>
    <x v="0"/>
    <x v="0"/>
    <x v="358"/>
    <n v="6419.25"/>
    <n v="2104.36"/>
    <x v="51"/>
    <n v="0"/>
    <n v="5535.75"/>
    <n v="3431.39"/>
    <n v="0.28702551233793389"/>
    <x v="8"/>
    <s v="Q3"/>
    <s v="2025"/>
  </r>
  <r>
    <x v="188"/>
    <x v="3"/>
    <x v="0"/>
    <x v="0"/>
    <x v="1"/>
    <x v="359"/>
    <n v="25870.65"/>
    <n v="8534.7999999999993"/>
    <x v="229"/>
    <n v="0.15"/>
    <n v="18806.349999999999"/>
    <n v="10271.549999999999"/>
    <n v="0.22990688721265976"/>
    <x v="8"/>
    <s v="Q3"/>
    <s v="2025"/>
  </r>
  <r>
    <x v="189"/>
    <x v="1"/>
    <x v="0"/>
    <x v="0"/>
    <x v="1"/>
    <x v="360"/>
    <n v="22888.92"/>
    <n v="5943.61"/>
    <x v="32"/>
    <n v="0.15"/>
    <n v="22020.080000000002"/>
    <n v="16076.470000000001"/>
    <n v="0.35797880157652145"/>
    <x v="8"/>
    <s v="Q3"/>
    <s v="2025"/>
  </r>
  <r>
    <x v="189"/>
    <x v="0"/>
    <x v="0"/>
    <x v="2"/>
    <x v="0"/>
    <x v="361"/>
    <n v="9403.17"/>
    <n v="2794.07"/>
    <x v="185"/>
    <n v="0"/>
    <n v="9538.83"/>
    <n v="6744.76"/>
    <n v="0.35607433217189316"/>
    <x v="8"/>
    <s v="Q3"/>
    <s v="2025"/>
  </r>
  <r>
    <x v="189"/>
    <x v="1"/>
    <x v="1"/>
    <x v="3"/>
    <x v="2"/>
    <x v="362"/>
    <n v="19872.2"/>
    <n v="6181.19"/>
    <x v="33"/>
    <n v="0.15"/>
    <n v="12540.8"/>
    <n v="6359.61"/>
    <n v="0.19620553481627742"/>
    <x v="8"/>
    <s v="Q3"/>
    <s v="2025"/>
  </r>
  <r>
    <x v="190"/>
    <x v="0"/>
    <x v="1"/>
    <x v="2"/>
    <x v="1"/>
    <x v="363"/>
    <n v="25592.59"/>
    <n v="6446.38"/>
    <x v="257"/>
    <n v="0"/>
    <n v="13211.41"/>
    <n v="6765.03"/>
    <n v="0.17433847026079785"/>
    <x v="8"/>
    <s v="Q3"/>
    <s v="2025"/>
  </r>
  <r>
    <x v="191"/>
    <x v="1"/>
    <x v="0"/>
    <x v="1"/>
    <x v="1"/>
    <x v="364"/>
    <n v="18917.349999999999"/>
    <n v="2838.48"/>
    <x v="245"/>
    <n v="0.05"/>
    <n v="13307.650000000001"/>
    <n v="10469.170000000002"/>
    <n v="0.32487726920093102"/>
    <x v="8"/>
    <s v="Q3"/>
    <s v="2025"/>
  </r>
  <r>
    <x v="192"/>
    <x v="0"/>
    <x v="1"/>
    <x v="0"/>
    <x v="1"/>
    <x v="365"/>
    <n v="22306.91"/>
    <n v="4272.8999999999996"/>
    <x v="92"/>
    <n v="0"/>
    <n v="20379.09"/>
    <n v="16106.19"/>
    <n v="0.37731785597151291"/>
    <x v="8"/>
    <s v="Q3"/>
    <s v="2025"/>
  </r>
  <r>
    <x v="193"/>
    <x v="3"/>
    <x v="1"/>
    <x v="2"/>
    <x v="1"/>
    <x v="366"/>
    <n v="16820.189999999999"/>
    <n v="3855.1"/>
    <x v="258"/>
    <n v="0"/>
    <n v="17767.810000000001"/>
    <n v="13912.710000000001"/>
    <n v="0.40224095061871173"/>
    <x v="8"/>
    <s v="Q3"/>
    <s v="2025"/>
  </r>
  <r>
    <x v="194"/>
    <x v="2"/>
    <x v="1"/>
    <x v="0"/>
    <x v="2"/>
    <x v="367"/>
    <n v="16483.78"/>
    <n v="4072.08"/>
    <x v="210"/>
    <n v="0"/>
    <n v="18960.22"/>
    <n v="14888.140000000001"/>
    <n v="0.42004683444306518"/>
    <x v="8"/>
    <s v="Q3"/>
    <s v="2025"/>
  </r>
  <r>
    <x v="194"/>
    <x v="3"/>
    <x v="0"/>
    <x v="3"/>
    <x v="0"/>
    <x v="368"/>
    <n v="18281.61"/>
    <n v="4300.29"/>
    <x v="184"/>
    <n v="0"/>
    <n v="10427.39"/>
    <n v="6127.0999999999995"/>
    <n v="0.21342087847016614"/>
    <x v="8"/>
    <s v="Q3"/>
    <s v="2025"/>
  </r>
  <r>
    <x v="195"/>
    <x v="2"/>
    <x v="1"/>
    <x v="0"/>
    <x v="1"/>
    <x v="369"/>
    <n v="25398.33"/>
    <n v="2862.63"/>
    <x v="22"/>
    <n v="0.15"/>
    <n v="9626.6699999999983"/>
    <n v="6764.0399999999981"/>
    <n v="0.19312034261241964"/>
    <x v="8"/>
    <s v="Q3"/>
    <s v="2025"/>
  </r>
  <r>
    <x v="196"/>
    <x v="0"/>
    <x v="1"/>
    <x v="1"/>
    <x v="1"/>
    <x v="370"/>
    <n v="16353.7"/>
    <n v="7573.96"/>
    <x v="79"/>
    <n v="0.02"/>
    <n v="19971.3"/>
    <n v="12397.34"/>
    <n v="0.34128947006194083"/>
    <x v="8"/>
    <s v="Q3"/>
    <s v="2025"/>
  </r>
  <r>
    <x v="197"/>
    <x v="1"/>
    <x v="1"/>
    <x v="3"/>
    <x v="0"/>
    <x v="371"/>
    <n v="7154.02"/>
    <n v="2314.34"/>
    <x v="259"/>
    <n v="0.02"/>
    <n v="8162.98"/>
    <n v="5848.6399999999994"/>
    <n v="0.38183978585884959"/>
    <x v="8"/>
    <s v="Q3"/>
    <s v="2025"/>
  </r>
  <r>
    <x v="197"/>
    <x v="2"/>
    <x v="0"/>
    <x v="3"/>
    <x v="2"/>
    <x v="372"/>
    <n v="26169.48"/>
    <n v="8867.2099999999991"/>
    <x v="260"/>
    <n v="0.1"/>
    <n v="15459.52"/>
    <n v="6592.3100000000013"/>
    <n v="0.15835859617093856"/>
    <x v="8"/>
    <s v="Q3"/>
    <s v="2025"/>
  </r>
  <r>
    <x v="197"/>
    <x v="0"/>
    <x v="1"/>
    <x v="0"/>
    <x v="1"/>
    <x v="373"/>
    <n v="17180.02"/>
    <n v="6368.17"/>
    <x v="176"/>
    <n v="0.1"/>
    <n v="15931.98"/>
    <n v="9563.81"/>
    <n v="0.2888321454457598"/>
    <x v="8"/>
    <s v="Q3"/>
    <s v="2025"/>
  </r>
  <r>
    <x v="198"/>
    <x v="0"/>
    <x v="1"/>
    <x v="0"/>
    <x v="1"/>
    <x v="374"/>
    <n v="23596.62"/>
    <n v="3388.52"/>
    <x v="261"/>
    <n v="0.05"/>
    <n v="17555.38"/>
    <n v="14166.86"/>
    <n v="0.34425690124416797"/>
    <x v="8"/>
    <s v="Q3"/>
    <s v="2025"/>
  </r>
  <r>
    <x v="199"/>
    <x v="1"/>
    <x v="0"/>
    <x v="3"/>
    <x v="0"/>
    <x v="375"/>
    <n v="4886.3100000000004"/>
    <n v="1102.1099999999999"/>
    <x v="76"/>
    <n v="0"/>
    <n v="1880.6899999999996"/>
    <n v="778.5799999999997"/>
    <n v="0.11505541598936009"/>
    <x v="9"/>
    <s v="Q4"/>
    <s v="2025"/>
  </r>
  <r>
    <x v="200"/>
    <x v="0"/>
    <x v="1"/>
    <x v="2"/>
    <x v="2"/>
    <x v="376"/>
    <n v="19539.75"/>
    <n v="2567.34"/>
    <x v="75"/>
    <n v="0.02"/>
    <n v="7162.25"/>
    <n v="4594.91"/>
    <n v="0.17208111751928695"/>
    <x v="9"/>
    <s v="Q4"/>
    <s v="2025"/>
  </r>
  <r>
    <x v="200"/>
    <x v="1"/>
    <x v="1"/>
    <x v="3"/>
    <x v="2"/>
    <x v="377"/>
    <n v="8137.65"/>
    <n v="2321.8000000000002"/>
    <x v="262"/>
    <n v="0.15"/>
    <n v="9345.35"/>
    <n v="7023.55"/>
    <n v="0.40173597208717038"/>
    <x v="9"/>
    <s v="Q4"/>
    <s v="2025"/>
  </r>
  <r>
    <x v="200"/>
    <x v="2"/>
    <x v="0"/>
    <x v="2"/>
    <x v="2"/>
    <x v="378"/>
    <n v="3721.8"/>
    <n v="658.79"/>
    <x v="263"/>
    <n v="0"/>
    <n v="1915.1999999999998"/>
    <n v="1256.4099999999999"/>
    <n v="0.22288628703210925"/>
    <x v="9"/>
    <s v="Q4"/>
    <s v="2025"/>
  </r>
  <r>
    <x v="201"/>
    <x v="0"/>
    <x v="1"/>
    <x v="1"/>
    <x v="1"/>
    <x v="379"/>
    <n v="19991.18"/>
    <n v="6403.89"/>
    <x v="264"/>
    <n v="0.1"/>
    <n v="12803.82"/>
    <n v="6399.9299999999994"/>
    <n v="0.19514956548254306"/>
    <x v="9"/>
    <s v="Q4"/>
    <s v="2025"/>
  </r>
  <r>
    <x v="202"/>
    <x v="3"/>
    <x v="1"/>
    <x v="3"/>
    <x v="0"/>
    <x v="380"/>
    <n v="14820.78"/>
    <n v="3828.94"/>
    <x v="2"/>
    <n v="0.05"/>
    <n v="11857.22"/>
    <n v="8028.2799999999988"/>
    <n v="0.30093260364345148"/>
    <x v="9"/>
    <s v="Q4"/>
    <s v="2025"/>
  </r>
  <r>
    <x v="202"/>
    <x v="3"/>
    <x v="1"/>
    <x v="2"/>
    <x v="0"/>
    <x v="381"/>
    <n v="17042.61"/>
    <n v="4336.8999999999996"/>
    <x v="189"/>
    <n v="0.1"/>
    <n v="19350.39"/>
    <n v="15013.49"/>
    <n v="0.41253785068557142"/>
    <x v="9"/>
    <s v="Q4"/>
    <s v="2025"/>
  </r>
  <r>
    <x v="202"/>
    <x v="0"/>
    <x v="0"/>
    <x v="3"/>
    <x v="2"/>
    <x v="382"/>
    <n v="15790.45"/>
    <n v="3742.28"/>
    <x v="208"/>
    <n v="0.05"/>
    <n v="7853.5499999999993"/>
    <n v="4111.2699999999986"/>
    <n v="0.17388216883776006"/>
    <x v="9"/>
    <s v="Q4"/>
    <s v="2025"/>
  </r>
  <r>
    <x v="203"/>
    <x v="1"/>
    <x v="1"/>
    <x v="1"/>
    <x v="0"/>
    <x v="383"/>
    <n v="15916.99"/>
    <n v="2358.46"/>
    <x v="265"/>
    <n v="0.1"/>
    <n v="8228.01"/>
    <n v="5869.55"/>
    <n v="0.24309587906398841"/>
    <x v="9"/>
    <s v="Q4"/>
    <s v="2025"/>
  </r>
  <r>
    <x v="203"/>
    <x v="0"/>
    <x v="0"/>
    <x v="3"/>
    <x v="1"/>
    <x v="384"/>
    <n v="4496.87"/>
    <n v="1486.66"/>
    <x v="266"/>
    <n v="0.02"/>
    <n v="3191.13"/>
    <n v="1704.47"/>
    <n v="0.22170525494276797"/>
    <x v="9"/>
    <s v="Q4"/>
    <s v="2025"/>
  </r>
  <r>
    <x v="203"/>
    <x v="0"/>
    <x v="1"/>
    <x v="0"/>
    <x v="2"/>
    <x v="385"/>
    <n v="26992.47"/>
    <n v="5991.9"/>
    <x v="70"/>
    <n v="0.02"/>
    <n v="16282.529999999999"/>
    <n v="10290.629999999999"/>
    <n v="0.23779618717504331"/>
    <x v="9"/>
    <s v="Q4"/>
    <s v="2025"/>
  </r>
  <r>
    <x v="203"/>
    <x v="1"/>
    <x v="0"/>
    <x v="3"/>
    <x v="2"/>
    <x v="386"/>
    <n v="17156.55"/>
    <n v="5185.18"/>
    <x v="267"/>
    <n v="0.1"/>
    <n v="12446.45"/>
    <n v="7261.27"/>
    <n v="0.2452883153734419"/>
    <x v="9"/>
    <s v="Q4"/>
    <s v="2025"/>
  </r>
  <r>
    <x v="204"/>
    <x v="2"/>
    <x v="0"/>
    <x v="0"/>
    <x v="0"/>
    <x v="387"/>
    <n v="20393.79"/>
    <n v="6154.77"/>
    <x v="268"/>
    <n v="0.15"/>
    <n v="11880.21"/>
    <n v="5725.4399999999987"/>
    <n v="0.17740100390407135"/>
    <x v="9"/>
    <s v="Q4"/>
    <s v="2025"/>
  </r>
  <r>
    <x v="204"/>
    <x v="1"/>
    <x v="0"/>
    <x v="1"/>
    <x v="1"/>
    <x v="388"/>
    <n v="19478.22"/>
    <n v="4529.57"/>
    <x v="269"/>
    <n v="0.05"/>
    <n v="20254.78"/>
    <n v="15725.21"/>
    <n v="0.3957720282888279"/>
    <x v="9"/>
    <s v="Q4"/>
    <s v="2025"/>
  </r>
  <r>
    <x v="204"/>
    <x v="2"/>
    <x v="0"/>
    <x v="0"/>
    <x v="0"/>
    <x v="389"/>
    <n v="5985.85"/>
    <n v="1075.75"/>
    <x v="270"/>
    <n v="0.1"/>
    <n v="3630.1499999999996"/>
    <n v="2554.3999999999996"/>
    <n v="0.26564059900166387"/>
    <x v="9"/>
    <s v="Q4"/>
    <s v="2025"/>
  </r>
  <r>
    <x v="205"/>
    <x v="3"/>
    <x v="0"/>
    <x v="0"/>
    <x v="1"/>
    <x v="390"/>
    <n v="24296"/>
    <n v="3704.65"/>
    <x v="117"/>
    <n v="0.02"/>
    <n v="8646"/>
    <n v="4941.3500000000004"/>
    <n v="0.15000151781919738"/>
    <x v="9"/>
    <s v="Q4"/>
    <s v="2025"/>
  </r>
  <r>
    <x v="206"/>
    <x v="0"/>
    <x v="0"/>
    <x v="2"/>
    <x v="2"/>
    <x v="391"/>
    <n v="22794.86"/>
    <n v="7733.03"/>
    <x v="271"/>
    <n v="0.1"/>
    <n v="13686.14"/>
    <n v="5953.11"/>
    <n v="0.16318384912694278"/>
    <x v="9"/>
    <s v="Q4"/>
    <s v="2025"/>
  </r>
  <r>
    <x v="207"/>
    <x v="2"/>
    <x v="0"/>
    <x v="3"/>
    <x v="2"/>
    <x v="392"/>
    <n v="34136.400000000001"/>
    <n v="10803.11"/>
    <x v="34"/>
    <n v="0.15"/>
    <n v="15807.599999999999"/>
    <n v="5004.489999999998"/>
    <n v="0.10020202626942171"/>
    <x v="9"/>
    <s v="Q4"/>
    <s v="2025"/>
  </r>
  <r>
    <x v="208"/>
    <x v="2"/>
    <x v="1"/>
    <x v="0"/>
    <x v="0"/>
    <x v="393"/>
    <n v="21458.91"/>
    <n v="9684.7000000000007"/>
    <x v="272"/>
    <n v="0.1"/>
    <n v="23044.09"/>
    <n v="13359.39"/>
    <n v="0.30019077365570856"/>
    <x v="9"/>
    <s v="Q4"/>
    <s v="2025"/>
  </r>
  <r>
    <x v="208"/>
    <x v="2"/>
    <x v="0"/>
    <x v="2"/>
    <x v="0"/>
    <x v="394"/>
    <n v="33315.46"/>
    <n v="5144.5"/>
    <x v="222"/>
    <n v="0.1"/>
    <n v="15881.54"/>
    <n v="10737.04"/>
    <n v="0.21824582799764214"/>
    <x v="9"/>
    <s v="Q4"/>
    <s v="2025"/>
  </r>
  <r>
    <x v="208"/>
    <x v="1"/>
    <x v="1"/>
    <x v="1"/>
    <x v="1"/>
    <x v="395"/>
    <n v="19213.900000000001"/>
    <n v="7571.68"/>
    <x v="218"/>
    <n v="0.05"/>
    <n v="16948.099999999999"/>
    <n v="9376.4199999999983"/>
    <n v="0.25928930921962279"/>
    <x v="9"/>
    <s v="Q4"/>
    <s v="2025"/>
  </r>
  <r>
    <x v="208"/>
    <x v="1"/>
    <x v="0"/>
    <x v="2"/>
    <x v="0"/>
    <x v="396"/>
    <n v="6041.19"/>
    <n v="1802.99"/>
    <x v="143"/>
    <n v="0.1"/>
    <n v="2522.8100000000004"/>
    <n v="719.82000000000039"/>
    <n v="8.4051844932274689E-2"/>
    <x v="9"/>
    <s v="Q4"/>
    <s v="2025"/>
  </r>
  <r>
    <x v="209"/>
    <x v="3"/>
    <x v="0"/>
    <x v="3"/>
    <x v="0"/>
    <x v="397"/>
    <n v="29269.24"/>
    <n v="5719.04"/>
    <x v="121"/>
    <n v="0.05"/>
    <n v="15728.759999999998"/>
    <n v="10009.719999999998"/>
    <n v="0.2224481088048357"/>
    <x v="9"/>
    <s v="Q4"/>
    <s v="2025"/>
  </r>
  <r>
    <x v="209"/>
    <x v="1"/>
    <x v="1"/>
    <x v="2"/>
    <x v="1"/>
    <x v="398"/>
    <n v="18233.099999999999"/>
    <n v="5721.61"/>
    <x v="273"/>
    <n v="0.1"/>
    <n v="14347.900000000001"/>
    <n v="8626.2900000000009"/>
    <n v="0.26476443325864768"/>
    <x v="9"/>
    <s v="Q4"/>
    <s v="2025"/>
  </r>
  <r>
    <x v="210"/>
    <x v="1"/>
    <x v="0"/>
    <x v="2"/>
    <x v="1"/>
    <x v="399"/>
    <n v="13719.43"/>
    <n v="3930.93"/>
    <x v="80"/>
    <n v="0.15"/>
    <n v="6101.57"/>
    <n v="2170.64"/>
    <n v="0.10951213359568134"/>
    <x v="9"/>
    <s v="Q4"/>
    <s v="2025"/>
  </r>
  <r>
    <x v="210"/>
    <x v="2"/>
    <x v="1"/>
    <x v="0"/>
    <x v="2"/>
    <x v="400"/>
    <n v="6189.29"/>
    <n v="1729.58"/>
    <x v="188"/>
    <n v="0.02"/>
    <n v="6012.71"/>
    <n v="4283.13"/>
    <n v="0.3510186854613998"/>
    <x v="9"/>
    <s v="Q4"/>
    <s v="2025"/>
  </r>
  <r>
    <x v="210"/>
    <x v="3"/>
    <x v="0"/>
    <x v="2"/>
    <x v="0"/>
    <x v="401"/>
    <n v="16568.400000000001"/>
    <n v="3423.45"/>
    <x v="274"/>
    <n v="0"/>
    <n v="5951.5999999999985"/>
    <n v="2528.1499999999987"/>
    <n v="0.11226243339253991"/>
    <x v="9"/>
    <s v="Q4"/>
    <s v="2025"/>
  </r>
  <r>
    <x v="210"/>
    <x v="3"/>
    <x v="0"/>
    <x v="3"/>
    <x v="0"/>
    <x v="402"/>
    <n v="25059.84"/>
    <n v="6908.74"/>
    <x v="192"/>
    <n v="0.05"/>
    <n v="19042.16"/>
    <n v="12133.42"/>
    <n v="0.27512176318534309"/>
    <x v="9"/>
    <s v="Q4"/>
    <s v="2025"/>
  </r>
  <r>
    <x v="211"/>
    <x v="2"/>
    <x v="0"/>
    <x v="0"/>
    <x v="1"/>
    <x v="403"/>
    <n v="12924.19"/>
    <n v="2608.2399999999998"/>
    <x v="275"/>
    <n v="0.1"/>
    <n v="12569.81"/>
    <n v="9961.57"/>
    <n v="0.39074174315525223"/>
    <x v="9"/>
    <s v="Q4"/>
    <s v="2025"/>
  </r>
  <r>
    <x v="211"/>
    <x v="1"/>
    <x v="0"/>
    <x v="1"/>
    <x v="2"/>
    <x v="404"/>
    <n v="24644.42"/>
    <n v="6409.02"/>
    <x v="276"/>
    <n v="0"/>
    <n v="21800.58"/>
    <n v="15391.560000000001"/>
    <n v="0.33139326084616216"/>
    <x v="9"/>
    <s v="Q4"/>
    <s v="2025"/>
  </r>
  <r>
    <x v="211"/>
    <x v="1"/>
    <x v="1"/>
    <x v="0"/>
    <x v="1"/>
    <x v="405"/>
    <n v="8403.83"/>
    <n v="2005.87"/>
    <x v="277"/>
    <n v="0"/>
    <n v="5154.17"/>
    <n v="3148.3"/>
    <n v="0.23220976545213159"/>
    <x v="9"/>
    <s v="Q4"/>
    <s v="2025"/>
  </r>
  <r>
    <x v="211"/>
    <x v="2"/>
    <x v="1"/>
    <x v="1"/>
    <x v="1"/>
    <x v="406"/>
    <n v="21822.71"/>
    <n v="6629.44"/>
    <x v="33"/>
    <n v="0"/>
    <n v="24302.29"/>
    <n v="17672.850000000002"/>
    <n v="0.38315121951219516"/>
    <x v="9"/>
    <s v="Q4"/>
    <s v="2025"/>
  </r>
  <r>
    <x v="211"/>
    <x v="3"/>
    <x v="0"/>
    <x v="3"/>
    <x v="1"/>
    <x v="407"/>
    <n v="18807.82"/>
    <n v="3741.89"/>
    <x v="189"/>
    <n v="0"/>
    <n v="8759.18"/>
    <n v="5017.2900000000009"/>
    <n v="0.18200348242463818"/>
    <x v="9"/>
    <s v="Q4"/>
    <s v="2025"/>
  </r>
  <r>
    <x v="212"/>
    <x v="0"/>
    <x v="0"/>
    <x v="3"/>
    <x v="0"/>
    <x v="408"/>
    <n v="22521.73"/>
    <n v="7003.81"/>
    <x v="198"/>
    <n v="0.15"/>
    <n v="11897.27"/>
    <n v="4893.46"/>
    <n v="0.14217321828060084"/>
    <x v="9"/>
    <s v="Q4"/>
    <s v="2025"/>
  </r>
  <r>
    <x v="212"/>
    <x v="2"/>
    <x v="1"/>
    <x v="3"/>
    <x v="1"/>
    <x v="409"/>
    <n v="22210.16"/>
    <n v="3736.52"/>
    <x v="56"/>
    <n v="0.02"/>
    <n v="20644.84"/>
    <n v="16908.32"/>
    <n v="0.39454719402636795"/>
    <x v="9"/>
    <s v="Q4"/>
    <s v="2025"/>
  </r>
  <r>
    <x v="212"/>
    <x v="0"/>
    <x v="0"/>
    <x v="3"/>
    <x v="0"/>
    <x v="410"/>
    <n v="21477.98"/>
    <n v="3463.76"/>
    <x v="278"/>
    <n v="0.15"/>
    <n v="10072.02"/>
    <n v="6608.26"/>
    <n v="0.20945356576862123"/>
    <x v="9"/>
    <s v="Q4"/>
    <s v="2025"/>
  </r>
  <r>
    <x v="213"/>
    <x v="0"/>
    <x v="1"/>
    <x v="0"/>
    <x v="0"/>
    <x v="411"/>
    <n v="15788.58"/>
    <n v="3430.02"/>
    <x v="233"/>
    <n v="0.1"/>
    <n v="8816.42"/>
    <n v="5386.4"/>
    <n v="0.21891485470432837"/>
    <x v="9"/>
    <s v="Q4"/>
    <s v="2025"/>
  </r>
  <r>
    <x v="213"/>
    <x v="1"/>
    <x v="0"/>
    <x v="2"/>
    <x v="0"/>
    <x v="412"/>
    <n v="22825.3"/>
    <n v="4232.1499999999996"/>
    <x v="46"/>
    <n v="0.05"/>
    <n v="18306.7"/>
    <n v="14074.550000000001"/>
    <n v="0.34218005445881555"/>
    <x v="9"/>
    <s v="Q4"/>
    <s v="2025"/>
  </r>
  <r>
    <x v="214"/>
    <x v="2"/>
    <x v="0"/>
    <x v="1"/>
    <x v="1"/>
    <x v="413"/>
    <n v="16095.11"/>
    <n v="1879.62"/>
    <x v="206"/>
    <n v="0.02"/>
    <n v="7135.8899999999994"/>
    <n v="5256.2699999999995"/>
    <n v="0.22626103051956437"/>
    <x v="9"/>
    <s v="Q4"/>
    <s v="2025"/>
  </r>
  <r>
    <x v="214"/>
    <x v="3"/>
    <x v="1"/>
    <x v="1"/>
    <x v="2"/>
    <x v="414"/>
    <n v="17929.05"/>
    <n v="5526.34"/>
    <x v="205"/>
    <n v="0"/>
    <n v="15173.95"/>
    <n v="9647.61"/>
    <n v="0.29144216536265599"/>
    <x v="9"/>
    <s v="Q4"/>
    <s v="2025"/>
  </r>
  <r>
    <x v="214"/>
    <x v="3"/>
    <x v="1"/>
    <x v="1"/>
    <x v="1"/>
    <x v="415"/>
    <n v="33405.019999999997"/>
    <n v="5204.99"/>
    <x v="229"/>
    <n v="0.15"/>
    <n v="14925.980000000003"/>
    <n v="9720.9900000000034"/>
    <n v="0.20113364093439001"/>
    <x v="9"/>
    <s v="Q4"/>
    <s v="2025"/>
  </r>
  <r>
    <x v="215"/>
    <x v="0"/>
    <x v="0"/>
    <x v="3"/>
    <x v="0"/>
    <x v="416"/>
    <n v="12349.21"/>
    <n v="2583.4899999999998"/>
    <x v="246"/>
    <n v="0"/>
    <n v="10239.790000000001"/>
    <n v="7656.3000000000011"/>
    <n v="0.33893930674221973"/>
    <x v="9"/>
    <s v="Q4"/>
    <s v="2025"/>
  </r>
  <r>
    <x v="215"/>
    <x v="0"/>
    <x v="0"/>
    <x v="2"/>
    <x v="1"/>
    <x v="417"/>
    <n v="7112.72"/>
    <n v="1348.41"/>
    <x v="279"/>
    <n v="0"/>
    <n v="5033.28"/>
    <n v="3684.87"/>
    <n v="0.30338136011855754"/>
    <x v="9"/>
    <s v="Q4"/>
    <s v="2025"/>
  </r>
  <r>
    <x v="215"/>
    <x v="1"/>
    <x v="0"/>
    <x v="3"/>
    <x v="0"/>
    <x v="418"/>
    <n v="12009.43"/>
    <n v="2821"/>
    <x v="280"/>
    <n v="0.05"/>
    <n v="7813.57"/>
    <n v="4992.57"/>
    <n v="0.25185743832921353"/>
    <x v="9"/>
    <s v="Q4"/>
    <s v="2025"/>
  </r>
  <r>
    <x v="216"/>
    <x v="3"/>
    <x v="1"/>
    <x v="0"/>
    <x v="0"/>
    <x v="419"/>
    <n v="4204.3100000000004"/>
    <n v="1253.4000000000001"/>
    <x v="281"/>
    <n v="0"/>
    <n v="2995.6899999999996"/>
    <n v="1742.2899999999995"/>
    <n v="0.24198472222222214"/>
    <x v="10"/>
    <s v="Q4"/>
    <s v="2025"/>
  </r>
  <r>
    <x v="217"/>
    <x v="0"/>
    <x v="1"/>
    <x v="2"/>
    <x v="2"/>
    <x v="420"/>
    <n v="2764.55"/>
    <n v="1129.1099999999999"/>
    <x v="87"/>
    <n v="0.15"/>
    <n v="2420.4499999999998"/>
    <n v="1291.3399999999999"/>
    <n v="0.24905303760848599"/>
    <x v="10"/>
    <s v="Q4"/>
    <s v="2025"/>
  </r>
  <r>
    <x v="218"/>
    <x v="3"/>
    <x v="0"/>
    <x v="1"/>
    <x v="0"/>
    <x v="421"/>
    <n v="34132.39"/>
    <n v="5553.65"/>
    <x v="282"/>
    <n v="0.02"/>
    <n v="14942.61"/>
    <n v="9388.9600000000009"/>
    <n v="0.1913185939887927"/>
    <x v="10"/>
    <s v="Q4"/>
    <s v="2025"/>
  </r>
  <r>
    <x v="218"/>
    <x v="1"/>
    <x v="1"/>
    <x v="3"/>
    <x v="2"/>
    <x v="422"/>
    <n v="18622.080000000002"/>
    <n v="2146.25"/>
    <x v="202"/>
    <n v="0.1"/>
    <n v="7638.9199999999983"/>
    <n v="5492.6699999999983"/>
    <n v="0.20915692471726127"/>
    <x v="10"/>
    <s v="Q4"/>
    <s v="2025"/>
  </r>
  <r>
    <x v="219"/>
    <x v="2"/>
    <x v="0"/>
    <x v="1"/>
    <x v="0"/>
    <x v="423"/>
    <n v="20405.34"/>
    <n v="5518.98"/>
    <x v="261"/>
    <n v="0"/>
    <n v="11076.66"/>
    <n v="5557.68"/>
    <n v="0.17653516295025731"/>
    <x v="10"/>
    <s v="Q4"/>
    <s v="2025"/>
  </r>
  <r>
    <x v="220"/>
    <x v="0"/>
    <x v="0"/>
    <x v="1"/>
    <x v="0"/>
    <x v="424"/>
    <n v="24197.58"/>
    <n v="6874.87"/>
    <x v="199"/>
    <n v="0.02"/>
    <n v="8532.4199999999983"/>
    <n v="1657.5499999999984"/>
    <n v="5.0643140849373616E-2"/>
    <x v="10"/>
    <s v="Q4"/>
    <s v="2025"/>
  </r>
  <r>
    <x v="220"/>
    <x v="3"/>
    <x v="0"/>
    <x v="0"/>
    <x v="1"/>
    <x v="425"/>
    <n v="19449.16"/>
    <n v="5176.97"/>
    <x v="283"/>
    <n v="0"/>
    <n v="18942.84"/>
    <n v="13765.869999999999"/>
    <n v="0.35856089810377162"/>
    <x v="10"/>
    <s v="Q4"/>
    <s v="2025"/>
  </r>
  <r>
    <x v="221"/>
    <x v="3"/>
    <x v="0"/>
    <x v="0"/>
    <x v="2"/>
    <x v="426"/>
    <n v="25560.23"/>
    <n v="6571.6"/>
    <x v="284"/>
    <n v="0.02"/>
    <n v="10346.77"/>
    <n v="3775.17"/>
    <n v="0.1051374383824881"/>
    <x v="10"/>
    <s v="Q4"/>
    <s v="2025"/>
  </r>
  <r>
    <x v="222"/>
    <x v="0"/>
    <x v="0"/>
    <x v="0"/>
    <x v="2"/>
    <x v="427"/>
    <n v="10042.98"/>
    <n v="1921.98"/>
    <x v="70"/>
    <n v="0.1"/>
    <n v="9430.02"/>
    <n v="7508.0400000000009"/>
    <n v="0.38556154675704829"/>
    <x v="10"/>
    <s v="Q4"/>
    <s v="2025"/>
  </r>
  <r>
    <x v="222"/>
    <x v="2"/>
    <x v="0"/>
    <x v="3"/>
    <x v="0"/>
    <x v="428"/>
    <n v="25055.26"/>
    <n v="8291.31"/>
    <x v="285"/>
    <n v="0.05"/>
    <n v="18977.740000000002"/>
    <n v="10686.430000000002"/>
    <n v="0.24269139054799815"/>
    <x v="10"/>
    <s v="Q4"/>
    <s v="2025"/>
  </r>
  <r>
    <x v="222"/>
    <x v="3"/>
    <x v="0"/>
    <x v="2"/>
    <x v="2"/>
    <x v="429"/>
    <n v="10487.35"/>
    <n v="2512.8000000000002"/>
    <x v="286"/>
    <n v="0.02"/>
    <n v="7443.65"/>
    <n v="4930.8499999999995"/>
    <n v="0.27499024036584685"/>
    <x v="10"/>
    <s v="Q4"/>
    <s v="2025"/>
  </r>
  <r>
    <x v="223"/>
    <x v="2"/>
    <x v="1"/>
    <x v="1"/>
    <x v="2"/>
    <x v="430"/>
    <n v="33102.61"/>
    <n v="9907.2999999999993"/>
    <x v="71"/>
    <n v="0.15"/>
    <n v="16168.39"/>
    <n v="6261.09"/>
    <n v="0.12707454689371031"/>
    <x v="10"/>
    <s v="Q4"/>
    <s v="2025"/>
  </r>
  <r>
    <x v="224"/>
    <x v="3"/>
    <x v="1"/>
    <x v="1"/>
    <x v="0"/>
    <x v="431"/>
    <n v="23791"/>
    <n v="7066.15"/>
    <x v="25"/>
    <n v="0.05"/>
    <n v="10245"/>
    <n v="3178.8500000000004"/>
    <n v="9.3396697614290758E-2"/>
    <x v="10"/>
    <s v="Q4"/>
    <s v="2025"/>
  </r>
  <r>
    <x v="224"/>
    <x v="0"/>
    <x v="1"/>
    <x v="1"/>
    <x v="0"/>
    <x v="432"/>
    <n v="6893.62"/>
    <n v="1191.8699999999999"/>
    <x v="287"/>
    <n v="0.05"/>
    <n v="2680.38"/>
    <n v="1488.5100000000002"/>
    <n v="0.15547420096093589"/>
    <x v="10"/>
    <s v="Q4"/>
    <s v="2025"/>
  </r>
  <r>
    <x v="224"/>
    <x v="0"/>
    <x v="0"/>
    <x v="3"/>
    <x v="2"/>
    <x v="433"/>
    <n v="15343.61"/>
    <n v="5595.01"/>
    <x v="160"/>
    <n v="0.15"/>
    <n v="10327.39"/>
    <n v="4732.3799999999992"/>
    <n v="0.18434731798527518"/>
    <x v="10"/>
    <s v="Q4"/>
    <s v="2025"/>
  </r>
  <r>
    <x v="225"/>
    <x v="2"/>
    <x v="1"/>
    <x v="2"/>
    <x v="0"/>
    <x v="434"/>
    <n v="36206.449999999997"/>
    <n v="10949.47"/>
    <x v="145"/>
    <n v="0"/>
    <n v="13645.550000000003"/>
    <n v="2696.0800000000036"/>
    <n v="5.4081681778063141E-2"/>
    <x v="10"/>
    <s v="Q4"/>
    <s v="2025"/>
  </r>
  <r>
    <x v="226"/>
    <x v="0"/>
    <x v="1"/>
    <x v="0"/>
    <x v="2"/>
    <x v="435"/>
    <n v="22892.13"/>
    <n v="2822.91"/>
    <x v="288"/>
    <n v="0.02"/>
    <n v="9866.869999999999"/>
    <n v="7043.9599999999991"/>
    <n v="0.21502365762080647"/>
    <x v="10"/>
    <s v="Q4"/>
    <s v="2025"/>
  </r>
  <r>
    <x v="226"/>
    <x v="2"/>
    <x v="0"/>
    <x v="3"/>
    <x v="0"/>
    <x v="436"/>
    <n v="3346.99"/>
    <n v="1081.26"/>
    <x v="6"/>
    <n v="0.1"/>
    <n v="3662.01"/>
    <n v="2580.75"/>
    <n v="0.36820516478812954"/>
    <x v="10"/>
    <s v="Q4"/>
    <s v="2025"/>
  </r>
  <r>
    <x v="227"/>
    <x v="1"/>
    <x v="1"/>
    <x v="3"/>
    <x v="1"/>
    <x v="437"/>
    <n v="14419.7"/>
    <n v="3750.59"/>
    <x v="156"/>
    <n v="0.05"/>
    <n v="14489.3"/>
    <n v="10738.71"/>
    <n v="0.37146597945276555"/>
    <x v="10"/>
    <s v="Q4"/>
    <s v="2025"/>
  </r>
  <r>
    <x v="227"/>
    <x v="0"/>
    <x v="0"/>
    <x v="0"/>
    <x v="0"/>
    <x v="438"/>
    <n v="23262.16"/>
    <n v="4952.07"/>
    <x v="289"/>
    <n v="0.15"/>
    <n v="11866.84"/>
    <n v="6914.77"/>
    <n v="0.19683936348885536"/>
    <x v="10"/>
    <s v="Q4"/>
    <s v="2025"/>
  </r>
  <r>
    <x v="227"/>
    <x v="1"/>
    <x v="0"/>
    <x v="3"/>
    <x v="2"/>
    <x v="439"/>
    <n v="22592.84"/>
    <n v="3506.22"/>
    <x v="290"/>
    <n v="0.05"/>
    <n v="7761.16"/>
    <n v="4254.9400000000005"/>
    <n v="0.14017724187915928"/>
    <x v="10"/>
    <s v="Q4"/>
    <s v="2025"/>
  </r>
  <r>
    <x v="228"/>
    <x v="2"/>
    <x v="0"/>
    <x v="0"/>
    <x v="2"/>
    <x v="440"/>
    <n v="17926.96"/>
    <n v="3529.34"/>
    <x v="171"/>
    <n v="0.05"/>
    <n v="6197.0400000000009"/>
    <n v="2667.7000000000007"/>
    <n v="0.1105828220858896"/>
    <x v="10"/>
    <s v="Q4"/>
    <s v="2025"/>
  </r>
  <r>
    <x v="229"/>
    <x v="1"/>
    <x v="1"/>
    <x v="0"/>
    <x v="1"/>
    <x v="441"/>
    <n v="5625.46"/>
    <n v="1457.13"/>
    <x v="114"/>
    <n v="0.02"/>
    <n v="6670.54"/>
    <n v="5213.41"/>
    <n v="0.42399235523747558"/>
    <x v="10"/>
    <s v="Q4"/>
    <s v="2025"/>
  </r>
  <r>
    <x v="230"/>
    <x v="1"/>
    <x v="0"/>
    <x v="1"/>
    <x v="2"/>
    <x v="442"/>
    <n v="22657.65"/>
    <n v="4687.05"/>
    <x v="16"/>
    <n v="0.1"/>
    <n v="20141.349999999999"/>
    <n v="15454.3"/>
    <n v="0.36109021238813988"/>
    <x v="10"/>
    <s v="Q4"/>
    <s v="2025"/>
  </r>
  <r>
    <x v="231"/>
    <x v="0"/>
    <x v="0"/>
    <x v="0"/>
    <x v="0"/>
    <x v="443"/>
    <n v="17285.14"/>
    <n v="3491.26"/>
    <x v="30"/>
    <n v="0.15"/>
    <n v="17785.86"/>
    <n v="14294.6"/>
    <n v="0.40759031678594854"/>
    <x v="10"/>
    <s v="Q4"/>
    <s v="2025"/>
  </r>
  <r>
    <x v="231"/>
    <x v="2"/>
    <x v="1"/>
    <x v="1"/>
    <x v="0"/>
    <x v="444"/>
    <n v="27651.279999999999"/>
    <n v="7517.36"/>
    <x v="232"/>
    <n v="0.1"/>
    <n v="21345.72"/>
    <n v="13828.36"/>
    <n v="0.28222870788007431"/>
    <x v="10"/>
    <s v="Q4"/>
    <s v="2025"/>
  </r>
  <r>
    <x v="232"/>
    <x v="1"/>
    <x v="1"/>
    <x v="3"/>
    <x v="2"/>
    <x v="445"/>
    <n v="16553.71"/>
    <n v="5345.06"/>
    <x v="291"/>
    <n v="0.15"/>
    <n v="10156.290000000001"/>
    <n v="4811.2300000000005"/>
    <n v="0.18012841632347437"/>
    <x v="10"/>
    <s v="Q4"/>
    <s v="2025"/>
  </r>
  <r>
    <x v="232"/>
    <x v="2"/>
    <x v="0"/>
    <x v="2"/>
    <x v="2"/>
    <x v="446"/>
    <n v="5494.74"/>
    <n v="1189.21"/>
    <x v="226"/>
    <n v="0.1"/>
    <n v="5356.26"/>
    <n v="4167.05"/>
    <n v="0.38402451386968944"/>
    <x v="10"/>
    <s v="Q4"/>
    <s v="2025"/>
  </r>
  <r>
    <x v="232"/>
    <x v="3"/>
    <x v="1"/>
    <x v="3"/>
    <x v="2"/>
    <x v="447"/>
    <n v="19014.7"/>
    <n v="4081.24"/>
    <x v="142"/>
    <n v="0.05"/>
    <n v="19575.3"/>
    <n v="15494.06"/>
    <n v="0.401504534853589"/>
    <x v="10"/>
    <s v="Q4"/>
    <s v="2025"/>
  </r>
  <r>
    <x v="233"/>
    <x v="3"/>
    <x v="1"/>
    <x v="2"/>
    <x v="1"/>
    <x v="448"/>
    <n v="21713.27"/>
    <n v="2402.2199999999998"/>
    <x v="292"/>
    <n v="0.15"/>
    <n v="7739.73"/>
    <n v="5337.51"/>
    <n v="0.18122126778256883"/>
    <x v="10"/>
    <s v="Q4"/>
    <s v="2025"/>
  </r>
  <r>
    <x v="234"/>
    <x v="3"/>
    <x v="1"/>
    <x v="1"/>
    <x v="0"/>
    <x v="449"/>
    <n v="2701.11"/>
    <n v="716.19"/>
    <x v="96"/>
    <n v="0.15"/>
    <n v="2874.89"/>
    <n v="2158.6999999999998"/>
    <n v="0.38714131994261114"/>
    <x v="10"/>
    <s v="Q4"/>
    <s v="2025"/>
  </r>
  <r>
    <x v="235"/>
    <x v="0"/>
    <x v="1"/>
    <x v="1"/>
    <x v="0"/>
    <x v="450"/>
    <n v="9867.7000000000007"/>
    <n v="1786.79"/>
    <x v="185"/>
    <n v="0"/>
    <n v="9915.2999999999993"/>
    <n v="8128.5099999999993"/>
    <n v="0.41088358691806093"/>
    <x v="10"/>
    <s v="Q4"/>
    <s v="2025"/>
  </r>
  <r>
    <x v="236"/>
    <x v="0"/>
    <x v="1"/>
    <x v="0"/>
    <x v="1"/>
    <x v="451"/>
    <n v="11445.29"/>
    <n v="4666.8"/>
    <x v="287"/>
    <n v="0.05"/>
    <n v="9776.7099999999991"/>
    <n v="5109.9099999999989"/>
    <n v="0.24078362077089807"/>
    <x v="11"/>
    <s v="Q4"/>
    <s v="2025"/>
  </r>
  <r>
    <x v="236"/>
    <x v="0"/>
    <x v="0"/>
    <x v="3"/>
    <x v="2"/>
    <x v="452"/>
    <n v="16679.11"/>
    <n v="5110.75"/>
    <x v="223"/>
    <n v="0"/>
    <n v="13126.89"/>
    <n v="8016.1399999999994"/>
    <n v="0.26894383681138023"/>
    <x v="11"/>
    <s v="Q4"/>
    <s v="2025"/>
  </r>
  <r>
    <x v="237"/>
    <x v="2"/>
    <x v="1"/>
    <x v="3"/>
    <x v="2"/>
    <x v="453"/>
    <n v="3849.55"/>
    <n v="1075.08"/>
    <x v="293"/>
    <n v="0"/>
    <n v="1513.4499999999998"/>
    <n v="438.36999999999989"/>
    <n v="8.1739697930262895E-2"/>
    <x v="11"/>
    <s v="Q4"/>
    <s v="2025"/>
  </r>
  <r>
    <x v="237"/>
    <x v="0"/>
    <x v="0"/>
    <x v="1"/>
    <x v="1"/>
    <x v="454"/>
    <n v="27467.26"/>
    <n v="7902.86"/>
    <x v="97"/>
    <n v="0"/>
    <n v="20925.740000000002"/>
    <n v="13022.880000000001"/>
    <n v="0.26910668898394396"/>
    <x v="11"/>
    <s v="Q4"/>
    <s v="2025"/>
  </r>
  <r>
    <x v="237"/>
    <x v="3"/>
    <x v="0"/>
    <x v="0"/>
    <x v="1"/>
    <x v="455"/>
    <n v="8793.6"/>
    <n v="1312.55"/>
    <x v="123"/>
    <n v="0.05"/>
    <n v="4521.3999999999996"/>
    <n v="3208.8499999999995"/>
    <n v="0.24099511828764547"/>
    <x v="11"/>
    <s v="Q4"/>
    <s v="2025"/>
  </r>
  <r>
    <x v="238"/>
    <x v="3"/>
    <x v="1"/>
    <x v="1"/>
    <x v="2"/>
    <x v="456"/>
    <n v="22213.79"/>
    <n v="7455.39"/>
    <x v="294"/>
    <n v="0.05"/>
    <n v="23959.21"/>
    <n v="16503.82"/>
    <n v="0.35743443137764491"/>
    <x v="11"/>
    <s v="Q4"/>
    <s v="2025"/>
  </r>
  <r>
    <x v="239"/>
    <x v="1"/>
    <x v="1"/>
    <x v="2"/>
    <x v="1"/>
    <x v="457"/>
    <n v="30594.77"/>
    <n v="7564.74"/>
    <x v="295"/>
    <n v="0.15"/>
    <n v="15330.23"/>
    <n v="7765.49"/>
    <n v="0.16909069134458354"/>
    <x v="11"/>
    <s v="Q4"/>
    <s v="2025"/>
  </r>
  <r>
    <x v="239"/>
    <x v="1"/>
    <x v="1"/>
    <x v="0"/>
    <x v="0"/>
    <x v="458"/>
    <n v="20367.509999999998"/>
    <n v="6979.01"/>
    <x v="277"/>
    <n v="0.1"/>
    <n v="18108.490000000002"/>
    <n v="11129.480000000001"/>
    <n v="0.28925771909761933"/>
    <x v="11"/>
    <s v="Q4"/>
    <s v="2025"/>
  </r>
  <r>
    <x v="240"/>
    <x v="1"/>
    <x v="0"/>
    <x v="1"/>
    <x v="0"/>
    <x v="459"/>
    <n v="13594.09"/>
    <n v="4344.45"/>
    <x v="296"/>
    <n v="0.02"/>
    <n v="6340.91"/>
    <n v="1996.46"/>
    <n v="0.10014848256834713"/>
    <x v="11"/>
    <s v="Q4"/>
    <s v="2025"/>
  </r>
  <r>
    <x v="240"/>
    <x v="2"/>
    <x v="1"/>
    <x v="2"/>
    <x v="0"/>
    <x v="460"/>
    <n v="7536.47"/>
    <n v="1368.45"/>
    <x v="51"/>
    <n v="0.02"/>
    <n v="4080.5299999999997"/>
    <n v="2712.08"/>
    <n v="0.23345786347594041"/>
    <x v="11"/>
    <s v="Q4"/>
    <s v="2025"/>
  </r>
  <r>
    <x v="240"/>
    <x v="3"/>
    <x v="1"/>
    <x v="2"/>
    <x v="2"/>
    <x v="461"/>
    <n v="12658.58"/>
    <n v="3681.46"/>
    <x v="133"/>
    <n v="0.1"/>
    <n v="8631.42"/>
    <n v="4949.96"/>
    <n v="0.23250164396430248"/>
    <x v="11"/>
    <s v="Q4"/>
    <s v="2025"/>
  </r>
  <r>
    <x v="240"/>
    <x v="0"/>
    <x v="1"/>
    <x v="1"/>
    <x v="2"/>
    <x v="462"/>
    <n v="4156.63"/>
    <n v="1085.74"/>
    <x v="115"/>
    <n v="0.1"/>
    <n v="2862.37"/>
    <n v="1776.6299999999999"/>
    <n v="0.25311725316996719"/>
    <x v="11"/>
    <s v="Q4"/>
    <s v="2025"/>
  </r>
  <r>
    <x v="241"/>
    <x v="0"/>
    <x v="0"/>
    <x v="1"/>
    <x v="1"/>
    <x v="463"/>
    <n v="21685.52"/>
    <n v="4905.7299999999996"/>
    <x v="126"/>
    <n v="0"/>
    <n v="9558.48"/>
    <n v="4652.75"/>
    <n v="0.14891659198566123"/>
    <x v="11"/>
    <s v="Q4"/>
    <s v="2025"/>
  </r>
  <r>
    <x v="241"/>
    <x v="3"/>
    <x v="0"/>
    <x v="0"/>
    <x v="2"/>
    <x v="464"/>
    <n v="19353.02"/>
    <n v="3931.14"/>
    <x v="297"/>
    <n v="0.02"/>
    <n v="11571.98"/>
    <n v="7640.84"/>
    <n v="0.24707647534357316"/>
    <x v="11"/>
    <s v="Q4"/>
    <s v="2025"/>
  </r>
  <r>
    <x v="241"/>
    <x v="1"/>
    <x v="0"/>
    <x v="2"/>
    <x v="0"/>
    <x v="465"/>
    <n v="18259.36"/>
    <n v="4816.3599999999997"/>
    <x v="24"/>
    <n v="0.05"/>
    <n v="11265.64"/>
    <n v="6449.28"/>
    <n v="0.2184345469940728"/>
    <x v="11"/>
    <s v="Q4"/>
    <s v="2025"/>
  </r>
  <r>
    <x v="241"/>
    <x v="0"/>
    <x v="1"/>
    <x v="1"/>
    <x v="0"/>
    <x v="466"/>
    <n v="23761.7"/>
    <n v="6166.37"/>
    <x v="298"/>
    <n v="0.15"/>
    <n v="23652.3"/>
    <n v="17485.93"/>
    <n v="0.36879255072341505"/>
    <x v="11"/>
    <s v="Q4"/>
    <s v="2025"/>
  </r>
  <r>
    <x v="242"/>
    <x v="0"/>
    <x v="0"/>
    <x v="2"/>
    <x v="2"/>
    <x v="467"/>
    <n v="23243.06"/>
    <n v="5920.09"/>
    <x v="263"/>
    <n v="0.15"/>
    <n v="9473.9399999999987"/>
    <n v="3553.8499999999985"/>
    <n v="0.1086239569642693"/>
    <x v="11"/>
    <s v="Q4"/>
    <s v="2025"/>
  </r>
  <r>
    <x v="242"/>
    <x v="1"/>
    <x v="0"/>
    <x v="0"/>
    <x v="1"/>
    <x v="468"/>
    <n v="23209.58"/>
    <n v="10561.11"/>
    <x v="174"/>
    <n v="0.15"/>
    <n v="25582.42"/>
    <n v="15021.309999999998"/>
    <n v="0.3078641990490244"/>
    <x v="11"/>
    <s v="Q4"/>
    <s v="2025"/>
  </r>
  <r>
    <x v="242"/>
    <x v="2"/>
    <x v="0"/>
    <x v="2"/>
    <x v="2"/>
    <x v="469"/>
    <n v="13104.99"/>
    <n v="3384.56"/>
    <x v="136"/>
    <n v="0"/>
    <n v="6208.01"/>
    <n v="2823.4500000000003"/>
    <n v="0.14619427328742299"/>
    <x v="11"/>
    <s v="Q4"/>
    <s v="2025"/>
  </r>
  <r>
    <x v="242"/>
    <x v="0"/>
    <x v="0"/>
    <x v="2"/>
    <x v="1"/>
    <x v="470"/>
    <n v="14129.72"/>
    <n v="4685.63"/>
    <x v="299"/>
    <n v="0.1"/>
    <n v="14135.28"/>
    <n v="9449.6500000000015"/>
    <n v="0.33432336812312052"/>
    <x v="11"/>
    <s v="Q4"/>
    <s v="2025"/>
  </r>
  <r>
    <x v="242"/>
    <x v="1"/>
    <x v="1"/>
    <x v="1"/>
    <x v="1"/>
    <x v="471"/>
    <n v="5880.34"/>
    <n v="1084.53"/>
    <x v="186"/>
    <n v="0.05"/>
    <n v="2197.66"/>
    <n v="1113.1299999999999"/>
    <n v="0.13779772220846742"/>
    <x v="11"/>
    <s v="Q4"/>
    <s v="2025"/>
  </r>
  <r>
    <x v="243"/>
    <x v="2"/>
    <x v="0"/>
    <x v="2"/>
    <x v="1"/>
    <x v="472"/>
    <n v="13347.89"/>
    <n v="3465.14"/>
    <x v="156"/>
    <n v="0.05"/>
    <n v="12242.11"/>
    <n v="8776.9700000000012"/>
    <n v="0.34298436889409928"/>
    <x v="11"/>
    <s v="Q4"/>
    <s v="2025"/>
  </r>
  <r>
    <x v="243"/>
    <x v="0"/>
    <x v="0"/>
    <x v="2"/>
    <x v="2"/>
    <x v="473"/>
    <n v="20605.55"/>
    <n v="4481.59"/>
    <x v="300"/>
    <n v="0.1"/>
    <n v="19196.45"/>
    <n v="14714.86"/>
    <n v="0.36970152253655597"/>
    <x v="11"/>
    <s v="Q4"/>
    <s v="2025"/>
  </r>
  <r>
    <x v="243"/>
    <x v="1"/>
    <x v="0"/>
    <x v="0"/>
    <x v="1"/>
    <x v="474"/>
    <n v="5686.64"/>
    <n v="1121.56"/>
    <x v="297"/>
    <n v="0.02"/>
    <n v="5564.36"/>
    <n v="4442.7999999999993"/>
    <n v="0.39488045507066033"/>
    <x v="11"/>
    <s v="Q4"/>
    <s v="2025"/>
  </r>
  <r>
    <x v="243"/>
    <x v="3"/>
    <x v="1"/>
    <x v="0"/>
    <x v="2"/>
    <x v="475"/>
    <n v="19063.259999999998"/>
    <n v="3797.99"/>
    <x v="294"/>
    <n v="0.15"/>
    <n v="8466.7400000000016"/>
    <n v="4668.7500000000018"/>
    <n v="0.16958772248456236"/>
    <x v="11"/>
    <s v="Q4"/>
    <s v="2025"/>
  </r>
  <r>
    <x v="244"/>
    <x v="0"/>
    <x v="1"/>
    <x v="1"/>
    <x v="0"/>
    <x v="476"/>
    <n v="36128.1"/>
    <n v="4646.63"/>
    <x v="156"/>
    <n v="0.1"/>
    <n v="13790.900000000001"/>
    <n v="9144.27"/>
    <n v="0.18318215509124783"/>
    <x v="11"/>
    <s v="Q4"/>
    <s v="2025"/>
  </r>
  <r>
    <x v="244"/>
    <x v="1"/>
    <x v="1"/>
    <x v="0"/>
    <x v="1"/>
    <x v="477"/>
    <n v="26751.75"/>
    <n v="7102.7"/>
    <x v="39"/>
    <n v="0.02"/>
    <n v="20028.25"/>
    <n v="12925.55"/>
    <n v="0.27630504489097901"/>
    <x v="11"/>
    <s v="Q4"/>
    <s v="2025"/>
  </r>
  <r>
    <x v="244"/>
    <x v="0"/>
    <x v="1"/>
    <x v="3"/>
    <x v="1"/>
    <x v="478"/>
    <n v="21440.73"/>
    <n v="4547.1899999999996"/>
    <x v="301"/>
    <n v="0.05"/>
    <n v="20183.27"/>
    <n v="15636.080000000002"/>
    <n v="0.37565058620026914"/>
    <x v="11"/>
    <s v="Q4"/>
    <s v="2025"/>
  </r>
  <r>
    <x v="244"/>
    <x v="3"/>
    <x v="1"/>
    <x v="2"/>
    <x v="2"/>
    <x v="479"/>
    <n v="7821.4"/>
    <n v="2133.17"/>
    <x v="152"/>
    <n v="0.1"/>
    <n v="3010.6000000000004"/>
    <n v="877.43000000000029"/>
    <n v="8.1003508124076834E-2"/>
    <x v="11"/>
    <s v="Q4"/>
    <s v="2025"/>
  </r>
  <r>
    <x v="244"/>
    <x v="3"/>
    <x v="0"/>
    <x v="2"/>
    <x v="2"/>
    <x v="480"/>
    <n v="31549.360000000001"/>
    <n v="9301.56"/>
    <x v="302"/>
    <n v="0"/>
    <n v="14705.64"/>
    <n v="5404.08"/>
    <n v="0.11683234244946492"/>
    <x v="11"/>
    <s v="Q4"/>
    <s v="2025"/>
  </r>
  <r>
    <x v="245"/>
    <x v="3"/>
    <x v="0"/>
    <x v="2"/>
    <x v="2"/>
    <x v="481"/>
    <n v="21225.86"/>
    <n v="8928.81"/>
    <x v="26"/>
    <n v="0.15"/>
    <n v="22362.14"/>
    <n v="13433.33"/>
    <n v="0.30818872166651373"/>
    <x v="11"/>
    <s v="Q4"/>
    <s v="2025"/>
  </r>
  <r>
    <x v="246"/>
    <x v="1"/>
    <x v="0"/>
    <x v="1"/>
    <x v="1"/>
    <x v="482"/>
    <n v="11466.71"/>
    <n v="3632.29"/>
    <x v="95"/>
    <n v="0.02"/>
    <n v="7538.2900000000009"/>
    <n v="3906.0000000000009"/>
    <n v="0.20552486187845309"/>
    <x v="11"/>
    <s v="Q4"/>
    <s v="2025"/>
  </r>
  <r>
    <x v="246"/>
    <x v="0"/>
    <x v="1"/>
    <x v="1"/>
    <x v="1"/>
    <x v="483"/>
    <n v="10606.18"/>
    <n v="1770.2"/>
    <x v="94"/>
    <n v="0.15"/>
    <n v="8204.82"/>
    <n v="6434.62"/>
    <n v="0.34206687576418054"/>
    <x v="11"/>
    <s v="Q4"/>
    <s v="2025"/>
  </r>
  <r>
    <x v="247"/>
    <x v="0"/>
    <x v="1"/>
    <x v="0"/>
    <x v="0"/>
    <x v="484"/>
    <n v="20576.45"/>
    <n v="7437.06"/>
    <x v="303"/>
    <n v="0"/>
    <n v="23606.55"/>
    <n v="16169.489999999998"/>
    <n v="0.36596632188850908"/>
    <x v="11"/>
    <s v="Q4"/>
    <s v="2025"/>
  </r>
  <r>
    <x v="248"/>
    <x v="0"/>
    <x v="0"/>
    <x v="0"/>
    <x v="2"/>
    <x v="485"/>
    <n v="8482.64"/>
    <n v="1279.8499999999999"/>
    <x v="128"/>
    <n v="0.1"/>
    <n v="2953.3600000000006"/>
    <n v="1673.5100000000007"/>
    <n v="0.14633700594613508"/>
    <x v="11"/>
    <s v="Q4"/>
    <s v="2025"/>
  </r>
  <r>
    <x v="249"/>
    <x v="1"/>
    <x v="1"/>
    <x v="3"/>
    <x v="0"/>
    <x v="486"/>
    <n v="6891.63"/>
    <n v="2719.13"/>
    <x v="129"/>
    <n v="0"/>
    <n v="8184.37"/>
    <n v="5465.24"/>
    <n v="0.3625126028124171"/>
    <x v="11"/>
    <s v="Q4"/>
    <s v="2025"/>
  </r>
  <r>
    <x v="250"/>
    <x v="2"/>
    <x v="0"/>
    <x v="2"/>
    <x v="2"/>
    <x v="487"/>
    <n v="16450.490000000002"/>
    <n v="5284.1"/>
    <x v="98"/>
    <n v="0.15"/>
    <n v="8477.5099999999984"/>
    <n v="3193.409999999998"/>
    <n v="0.12810534338896012"/>
    <x v="11"/>
    <s v="Q4"/>
    <s v="2025"/>
  </r>
  <r>
    <x v="251"/>
    <x v="2"/>
    <x v="0"/>
    <x v="2"/>
    <x v="1"/>
    <x v="488"/>
    <n v="18936.330000000002"/>
    <n v="2929.43"/>
    <x v="17"/>
    <n v="0.05"/>
    <n v="15154.669999999998"/>
    <n v="12225.239999999998"/>
    <n v="0.35860608371711"/>
    <x v="11"/>
    <s v="Q4"/>
    <s v="2025"/>
  </r>
  <r>
    <x v="252"/>
    <x v="0"/>
    <x v="1"/>
    <x v="2"/>
    <x v="1"/>
    <x v="407"/>
    <n v="14986.18"/>
    <n v="2601.75"/>
    <x v="304"/>
    <n v="0.15"/>
    <n v="12580.82"/>
    <n v="9979.07"/>
    <n v="0.36199332535277684"/>
    <x v="11"/>
    <s v="Q4"/>
    <s v="2025"/>
  </r>
  <r>
    <x v="253"/>
    <x v="3"/>
    <x v="0"/>
    <x v="0"/>
    <x v="2"/>
    <x v="489"/>
    <n v="15023.51"/>
    <n v="2604.7600000000002"/>
    <x v="305"/>
    <n v="0.1"/>
    <n v="9352.49"/>
    <n v="6747.73"/>
    <n v="0.27681859205776171"/>
    <x v="11"/>
    <s v="Q4"/>
    <s v="2025"/>
  </r>
  <r>
    <x v="253"/>
    <x v="1"/>
    <x v="0"/>
    <x v="0"/>
    <x v="2"/>
    <x v="490"/>
    <n v="17460.8"/>
    <n v="4062.72"/>
    <x v="306"/>
    <n v="0.15"/>
    <n v="7303.2000000000007"/>
    <n v="3240.4800000000009"/>
    <n v="0.13085446616055568"/>
    <x v="11"/>
    <s v="Q4"/>
    <s v="2025"/>
  </r>
  <r>
    <x v="253"/>
    <x v="1"/>
    <x v="1"/>
    <x v="1"/>
    <x v="1"/>
    <x v="491"/>
    <n v="9551.51"/>
    <n v="2053.3000000000002"/>
    <x v="142"/>
    <n v="0"/>
    <n v="4543.49"/>
    <n v="2490.1899999999996"/>
    <n v="0.17667186945725433"/>
    <x v="11"/>
    <s v="Q4"/>
    <s v="2025"/>
  </r>
  <r>
    <x v="254"/>
    <x v="3"/>
    <x v="0"/>
    <x v="2"/>
    <x v="2"/>
    <x v="492"/>
    <n v="14820.75"/>
    <n v="2255.37"/>
    <x v="51"/>
    <n v="0"/>
    <n v="6972.25"/>
    <n v="4716.88"/>
    <n v="0.21644014132978479"/>
    <x v="11"/>
    <s v="Q4"/>
    <s v="2025"/>
  </r>
  <r>
    <x v="254"/>
    <x v="3"/>
    <x v="0"/>
    <x v="2"/>
    <x v="1"/>
    <x v="493"/>
    <n v="11774.48"/>
    <n v="1887.27"/>
    <x v="291"/>
    <n v="0"/>
    <n v="8569.52"/>
    <n v="6682.25"/>
    <n v="0.32846293747542271"/>
    <x v="11"/>
    <s v="Q4"/>
    <s v="2025"/>
  </r>
  <r>
    <x v="255"/>
    <x v="1"/>
    <x v="0"/>
    <x v="3"/>
    <x v="0"/>
    <x v="494"/>
    <n v="20420.29"/>
    <n v="3159.54"/>
    <x v="307"/>
    <n v="0.02"/>
    <n v="12607.71"/>
    <n v="9448.1699999999983"/>
    <n v="0.28606545961002783"/>
    <x v="11"/>
    <s v="Q4"/>
    <s v="2025"/>
  </r>
  <r>
    <x v="256"/>
    <x v="1"/>
    <x v="1"/>
    <x v="1"/>
    <x v="2"/>
    <x v="495"/>
    <n v="21680.35"/>
    <n v="4146.17"/>
    <x v="308"/>
    <n v="0.05"/>
    <n v="24678.65"/>
    <n v="20532.480000000003"/>
    <n v="0.44290170193489942"/>
    <x v="11"/>
    <s v="Q4"/>
    <s v="2025"/>
  </r>
  <r>
    <x v="256"/>
    <x v="3"/>
    <x v="0"/>
    <x v="0"/>
    <x v="1"/>
    <x v="496"/>
    <n v="15695.39"/>
    <n v="5527.27"/>
    <x v="309"/>
    <n v="0"/>
    <n v="10135.61"/>
    <n v="4608.34"/>
    <n v="0.17840346870039875"/>
    <x v="11"/>
    <s v="Q4"/>
    <s v="2025"/>
  </r>
  <r>
    <x v="257"/>
    <x v="3"/>
    <x v="1"/>
    <x v="3"/>
    <x v="0"/>
    <x v="497"/>
    <n v="5728.88"/>
    <n v="1605.76"/>
    <x v="45"/>
    <n v="0.02"/>
    <n v="6813.12"/>
    <n v="5207.3599999999997"/>
    <n v="0.41519374900334871"/>
    <x v="11"/>
    <s v="Q4"/>
    <s v="2025"/>
  </r>
  <r>
    <x v="257"/>
    <x v="3"/>
    <x v="0"/>
    <x v="0"/>
    <x v="0"/>
    <x v="498"/>
    <n v="3407.48"/>
    <n v="527.45000000000005"/>
    <x v="195"/>
    <n v="0.1"/>
    <n v="2058.52"/>
    <n v="1531.07"/>
    <n v="0.28010793999268202"/>
    <x v="11"/>
    <s v="Q4"/>
    <s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DFD013-DA58-47D4-A5D8-B0E099F456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6">
    <pivotField showAll="0"/>
    <pivotField axis="axisRow" showAll="0">
      <items count="5">
        <item x="0"/>
        <item x="1"/>
        <item x="3"/>
        <item x="2"/>
        <item t="default"/>
      </items>
    </pivotField>
    <pivotField showAll="0"/>
    <pivotField showAll="0"/>
    <pivotField showAll="0"/>
    <pivotField dataField="1" numFmtId="164" showAll="0">
      <items count="500">
        <item x="210"/>
        <item x="420"/>
        <item x="113"/>
        <item x="60"/>
        <item x="453"/>
        <item x="28"/>
        <item x="498"/>
        <item x="93"/>
        <item x="449"/>
        <item x="378"/>
        <item x="267"/>
        <item x="233"/>
        <item x="305"/>
        <item x="170"/>
        <item x="306"/>
        <item x="78"/>
        <item x="87"/>
        <item x="375"/>
        <item x="436"/>
        <item x="462"/>
        <item x="84"/>
        <item x="419"/>
        <item x="135"/>
        <item x="334"/>
        <item x="128"/>
        <item x="26"/>
        <item x="124"/>
        <item x="384"/>
        <item x="101"/>
        <item x="322"/>
        <item x="471"/>
        <item x="63"/>
        <item x="141"/>
        <item x="256"/>
        <item x="396"/>
        <item x="165"/>
        <item x="107"/>
        <item x="155"/>
        <item x="40"/>
        <item x="83"/>
        <item x="182"/>
        <item x="174"/>
        <item x="127"/>
        <item x="121"/>
        <item x="100"/>
        <item x="191"/>
        <item x="263"/>
        <item x="351"/>
        <item x="432"/>
        <item x="389"/>
        <item x="74"/>
        <item x="132"/>
        <item x="172"/>
        <item x="264"/>
        <item x="270"/>
        <item x="194"/>
        <item x="45"/>
        <item x="294"/>
        <item x="188"/>
        <item x="479"/>
        <item x="446"/>
        <item x="94"/>
        <item x="1"/>
        <item x="209"/>
        <item x="303"/>
        <item x="213"/>
        <item x="11"/>
        <item x="145"/>
        <item x="474"/>
        <item x="77"/>
        <item x="117"/>
        <item x="485"/>
        <item x="236"/>
        <item x="460"/>
        <item x="200"/>
        <item x="329"/>
        <item x="228"/>
        <item x="358"/>
        <item x="88"/>
        <item x="108"/>
        <item x="417"/>
        <item x="400"/>
        <item x="441"/>
        <item x="243"/>
        <item x="147"/>
        <item x="142"/>
        <item x="497"/>
        <item x="241"/>
        <item x="55"/>
        <item x="323"/>
        <item x="211"/>
        <item x="80"/>
        <item x="33"/>
        <item x="17"/>
        <item x="31"/>
        <item x="455"/>
        <item x="405"/>
        <item x="169"/>
        <item x="7"/>
        <item x="275"/>
        <item x="73"/>
        <item x="3"/>
        <item x="167"/>
        <item x="491"/>
        <item x="354"/>
        <item x="297"/>
        <item x="193"/>
        <item x="71"/>
        <item x="5"/>
        <item x="276"/>
        <item x="486"/>
        <item x="268"/>
        <item x="79"/>
        <item x="154"/>
        <item x="50"/>
        <item x="371"/>
        <item x="97"/>
        <item x="178"/>
        <item x="53"/>
        <item x="30"/>
        <item x="183"/>
        <item x="309"/>
        <item x="313"/>
        <item x="251"/>
        <item x="272"/>
        <item x="330"/>
        <item x="234"/>
        <item x="19"/>
        <item x="134"/>
        <item x="232"/>
        <item x="115"/>
        <item x="162"/>
        <item x="254"/>
        <item x="156"/>
        <item x="377"/>
        <item x="340"/>
        <item x="353"/>
        <item x="192"/>
        <item x="429"/>
        <item x="67"/>
        <item x="189"/>
        <item x="262"/>
        <item x="46"/>
        <item x="293"/>
        <item x="214"/>
        <item x="184"/>
        <item x="483"/>
        <item x="106"/>
        <item x="130"/>
        <item x="361"/>
        <item x="482"/>
        <item x="139"/>
        <item x="352"/>
        <item x="326"/>
        <item x="287"/>
        <item x="206"/>
        <item x="291"/>
        <item x="197"/>
        <item x="469"/>
        <item x="250"/>
        <item x="427"/>
        <item x="249"/>
        <item x="283"/>
        <item x="2"/>
        <item x="450"/>
        <item x="399"/>
        <item x="418"/>
        <item x="459"/>
        <item x="41"/>
        <item x="23"/>
        <item x="14"/>
        <item x="277"/>
        <item x="493"/>
        <item x="152"/>
        <item x="75"/>
        <item x="27"/>
        <item x="350"/>
        <item x="76"/>
        <item x="119"/>
        <item x="39"/>
        <item x="451"/>
        <item x="56"/>
        <item x="61"/>
        <item x="461"/>
        <item x="34"/>
        <item x="342"/>
        <item x="69"/>
        <item x="492"/>
        <item x="131"/>
        <item x="102"/>
        <item x="66"/>
        <item x="4"/>
        <item x="282"/>
        <item x="327"/>
        <item x="401"/>
        <item x="416"/>
        <item x="344"/>
        <item x="52"/>
        <item x="58"/>
        <item x="239"/>
        <item x="413"/>
        <item x="190"/>
        <item x="382"/>
        <item x="237"/>
        <item x="47"/>
        <item x="120"/>
        <item x="20"/>
        <item x="225"/>
        <item x="440"/>
        <item x="383"/>
        <item x="244"/>
        <item x="229"/>
        <item x="57"/>
        <item x="489"/>
        <item x="148"/>
        <item x="411"/>
        <item x="129"/>
        <item x="312"/>
        <item x="490"/>
        <item x="0"/>
        <item x="487"/>
        <item x="111"/>
        <item x="171"/>
        <item x="212"/>
        <item x="6"/>
        <item x="403"/>
        <item x="109"/>
        <item x="269"/>
        <item x="472"/>
        <item x="205"/>
        <item x="433"/>
        <item x="13"/>
        <item x="496"/>
        <item x="10"/>
        <item x="290"/>
        <item x="246"/>
        <item x="204"/>
        <item x="308"/>
        <item x="341"/>
        <item x="230"/>
        <item x="422"/>
        <item x="51"/>
        <item x="380"/>
        <item x="376"/>
        <item x="260"/>
        <item x="445"/>
        <item x="112"/>
        <item x="164"/>
        <item x="307"/>
        <item x="266"/>
        <item x="295"/>
        <item x="221"/>
        <item x="203"/>
        <item x="158"/>
        <item x="475"/>
        <item x="407"/>
        <item x="348"/>
        <item x="85"/>
        <item x="316"/>
        <item x="339"/>
        <item x="349"/>
        <item x="301"/>
        <item x="70"/>
        <item x="470"/>
        <item x="273"/>
        <item x="9"/>
        <item x="368"/>
        <item x="181"/>
        <item x="82"/>
        <item x="437"/>
        <item x="286"/>
        <item x="208"/>
        <item x="357"/>
        <item x="103"/>
        <item x="62"/>
        <item x="48"/>
        <item x="448"/>
        <item x="332"/>
        <item x="465"/>
        <item x="199"/>
        <item x="386"/>
        <item x="452"/>
        <item x="96"/>
        <item x="299"/>
        <item x="336"/>
        <item x="324"/>
        <item x="81"/>
        <item x="38"/>
        <item x="36"/>
        <item x="89"/>
        <item x="439"/>
        <item x="300"/>
        <item x="311"/>
        <item x="223"/>
        <item x="59"/>
        <item x="247"/>
        <item x="464"/>
        <item x="218"/>
        <item x="463"/>
        <item x="25"/>
        <item x="347"/>
        <item x="423"/>
        <item x="168"/>
        <item x="86"/>
        <item x="410"/>
        <item x="231"/>
        <item x="219"/>
        <item x="118"/>
        <item x="245"/>
        <item x="298"/>
        <item x="224"/>
        <item x="173"/>
        <item x="8"/>
        <item x="364"/>
        <item x="321"/>
        <item x="387"/>
        <item x="362"/>
        <item x="398"/>
        <item x="467"/>
        <item x="424"/>
        <item x="435"/>
        <item x="379"/>
        <item x="390"/>
        <item x="494"/>
        <item x="414"/>
        <item x="373"/>
        <item x="12"/>
        <item x="18"/>
        <item x="22"/>
        <item x="21"/>
        <item x="259"/>
        <item x="159"/>
        <item x="356"/>
        <item x="320"/>
        <item x="207"/>
        <item x="346"/>
        <item x="431"/>
        <item x="488"/>
        <item x="265"/>
        <item x="314"/>
        <item x="408"/>
        <item x="44"/>
        <item x="343"/>
        <item x="366"/>
        <item x="337"/>
        <item x="261"/>
        <item x="95"/>
        <item x="149"/>
        <item x="42"/>
        <item x="369"/>
        <item x="443"/>
        <item x="438"/>
        <item x="216"/>
        <item x="367"/>
        <item x="271"/>
        <item x="37"/>
        <item x="175"/>
        <item x="426"/>
        <item x="24"/>
        <item x="395"/>
        <item x="138"/>
        <item x="202"/>
        <item x="370"/>
        <item x="289"/>
        <item x="90"/>
        <item x="381"/>
        <item x="252"/>
        <item x="240"/>
        <item x="391"/>
        <item x="227"/>
        <item x="319"/>
        <item x="318"/>
        <item x="302"/>
        <item x="65"/>
        <item x="144"/>
        <item x="187"/>
        <item x="186"/>
        <item x="49"/>
        <item x="16"/>
        <item x="257"/>
        <item x="279"/>
        <item x="126"/>
        <item x="253"/>
        <item x="68"/>
        <item x="163"/>
        <item x="220"/>
        <item x="425"/>
        <item x="458"/>
        <item x="447"/>
        <item x="304"/>
        <item x="296"/>
        <item x="363"/>
        <item x="285"/>
        <item x="388"/>
        <item x="473"/>
        <item x="201"/>
        <item x="310"/>
        <item x="92"/>
        <item x="72"/>
        <item x="180"/>
        <item x="143"/>
        <item x="153"/>
        <item x="116"/>
        <item x="105"/>
        <item x="176"/>
        <item x="177"/>
        <item x="258"/>
        <item x="140"/>
        <item x="123"/>
        <item x="412"/>
        <item x="374"/>
        <item x="29"/>
        <item x="331"/>
        <item x="217"/>
        <item x="35"/>
        <item x="478"/>
        <item x="372"/>
        <item x="248"/>
        <item x="278"/>
        <item x="99"/>
        <item x="54"/>
        <item x="335"/>
        <item x="137"/>
        <item x="122"/>
        <item x="185"/>
        <item x="91"/>
        <item x="325"/>
        <item x="133"/>
        <item x="114"/>
        <item x="365"/>
        <item x="442"/>
        <item x="43"/>
        <item x="409"/>
        <item x="166"/>
        <item x="15"/>
        <item x="385"/>
        <item x="157"/>
        <item x="481"/>
        <item x="98"/>
        <item x="428"/>
        <item x="402"/>
        <item x="355"/>
        <item x="484"/>
        <item x="288"/>
        <item x="146"/>
        <item x="393"/>
        <item x="104"/>
        <item x="151"/>
        <item x="359"/>
        <item x="328"/>
        <item x="360"/>
        <item x="397"/>
        <item x="280"/>
        <item x="235"/>
        <item x="345"/>
        <item x="284"/>
        <item x="274"/>
        <item x="333"/>
        <item x="238"/>
        <item x="160"/>
        <item x="457"/>
        <item x="406"/>
        <item x="161"/>
        <item x="456"/>
        <item x="480"/>
        <item x="495"/>
        <item x="404"/>
        <item x="317"/>
        <item x="32"/>
        <item x="292"/>
        <item x="110"/>
        <item x="477"/>
        <item x="125"/>
        <item x="215"/>
        <item x="242"/>
        <item x="150"/>
        <item x="466"/>
        <item x="226"/>
        <item x="315"/>
        <item x="222"/>
        <item x="195"/>
        <item x="281"/>
        <item x="196"/>
        <item x="64"/>
        <item x="415"/>
        <item x="454"/>
        <item x="198"/>
        <item x="468"/>
        <item x="444"/>
        <item x="421"/>
        <item x="179"/>
        <item x="394"/>
        <item x="430"/>
        <item x="255"/>
        <item x="338"/>
        <item x="136"/>
        <item x="434"/>
        <item x="476"/>
        <item x="392"/>
        <item t="default"/>
      </items>
    </pivotField>
    <pivotField numFmtId="164" showAll="0"/>
    <pivotField numFmtId="164" showAll="0"/>
    <pivotField showAll="0"/>
    <pivotField numFmtId="9" showAll="0"/>
    <pivotField numFmtId="164" showAll="0"/>
    <pivotField numFmtId="164" showAll="0"/>
    <pivotField numFmtId="9" showAll="0"/>
    <pivotField showAll="0"/>
    <pivotField showAll="0"/>
    <pivotField showAll="0"/>
  </pivotFields>
  <rowFields count="1">
    <field x="1"/>
  </rowFields>
  <rowItems count="5">
    <i>
      <x/>
    </i>
    <i>
      <x v="1"/>
    </i>
    <i>
      <x v="2"/>
    </i>
    <i>
      <x v="3"/>
    </i>
    <i t="grand">
      <x/>
    </i>
  </rowItems>
  <colItems count="1">
    <i/>
  </colItems>
  <dataFields count="1">
    <dataField name="Sum of Revenue" fld="5" baseField="0" baseItem="0" numFmtId="164"/>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EC3D79-3CA8-4F28-BCE1-12001A2F7CF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8:F31" firstHeaderRow="0" firstDataRow="1" firstDataCol="1"/>
  <pivotFields count="16">
    <pivotField showAll="0">
      <items count="2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t="default"/>
      </items>
    </pivotField>
    <pivotField showAll="0"/>
    <pivotField showAll="0"/>
    <pivotField showAll="0">
      <items count="5">
        <item x="2"/>
        <item x="3"/>
        <item x="0"/>
        <item x="1"/>
        <item t="default"/>
      </items>
    </pivotField>
    <pivotField showAll="0"/>
    <pivotField dataField="1" numFmtId="164" showAll="0"/>
    <pivotField numFmtId="164" showAll="0"/>
    <pivotField numFmtId="164" showAll="0"/>
    <pivotField showAll="0"/>
    <pivotField numFmtId="9" showAll="0"/>
    <pivotField numFmtId="164" showAll="0"/>
    <pivotField dataField="1" numFmtId="164" showAll="0"/>
    <pivotField numFmtId="9" showAll="0"/>
    <pivotField axis="axisRow" showAll="0" sortType="ascending">
      <items count="13">
        <item x="0"/>
        <item x="1"/>
        <item x="2"/>
        <item x="3"/>
        <item x="4"/>
        <item x="5"/>
        <item x="6"/>
        <item x="7"/>
        <item x="8"/>
        <item x="9"/>
        <item x="10"/>
        <item x="11"/>
        <item t="default"/>
      </items>
    </pivotField>
    <pivotField showAll="0"/>
    <pivotField showAll="0"/>
  </pivotFields>
  <rowFields count="1">
    <field x="13"/>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5" baseField="0" baseItem="0" numFmtId="164"/>
    <dataField name="Sum of Operating Profit " fld="11" baseField="0" baseItem="0" numFmtId="164"/>
  </dataFields>
  <chartFormats count="2">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89206D-2A25-4768-8028-53A7F3A7F2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1:F15" firstHeaderRow="0" firstDataRow="1" firstDataCol="1"/>
  <pivotFields count="16">
    <pivotField showAll="0"/>
    <pivotField showAll="0"/>
    <pivotField showAll="0">
      <items count="3">
        <item x="0"/>
        <item x="1"/>
        <item t="default"/>
      </items>
    </pivotField>
    <pivotField showAll="0">
      <items count="5">
        <item x="2"/>
        <item x="3"/>
        <item x="0"/>
        <item x="1"/>
        <item t="default"/>
      </items>
    </pivotField>
    <pivotField axis="axisRow" showAll="0">
      <items count="4">
        <item x="2"/>
        <item x="0"/>
        <item x="1"/>
        <item t="default"/>
      </items>
    </pivotField>
    <pivotField dataField="1" numFmtId="164" showAll="0"/>
    <pivotField numFmtId="164" showAll="0"/>
    <pivotField numFmtId="164" showAll="0"/>
    <pivotField showAll="0">
      <items count="311">
        <item x="201"/>
        <item x="286"/>
        <item x="195"/>
        <item x="280"/>
        <item x="237"/>
        <item x="131"/>
        <item x="290"/>
        <item x="85"/>
        <item x="11"/>
        <item x="285"/>
        <item x="308"/>
        <item x="278"/>
        <item x="129"/>
        <item x="146"/>
        <item x="60"/>
        <item x="113"/>
        <item x="105"/>
        <item x="74"/>
        <item x="284"/>
        <item x="174"/>
        <item x="140"/>
        <item x="31"/>
        <item x="247"/>
        <item x="108"/>
        <item x="72"/>
        <item x="172"/>
        <item x="192"/>
        <item x="244"/>
        <item x="197"/>
        <item x="291"/>
        <item x="48"/>
        <item x="300"/>
        <item x="40"/>
        <item x="100"/>
        <item x="45"/>
        <item x="229"/>
        <item x="171"/>
        <item x="306"/>
        <item x="166"/>
        <item x="43"/>
        <item x="87"/>
        <item x="115"/>
        <item x="189"/>
        <item x="213"/>
        <item x="123"/>
        <item x="52"/>
        <item x="42"/>
        <item x="70"/>
        <item x="49"/>
        <item x="158"/>
        <item x="32"/>
        <item x="99"/>
        <item x="242"/>
        <item x="23"/>
        <item x="181"/>
        <item x="101"/>
        <item x="203"/>
        <item x="86"/>
        <item x="41"/>
        <item x="248"/>
        <item x="79"/>
        <item x="269"/>
        <item x="134"/>
        <item x="29"/>
        <item x="58"/>
        <item x="77"/>
        <item x="114"/>
        <item x="268"/>
        <item x="27"/>
        <item x="8"/>
        <item x="7"/>
        <item x="163"/>
        <item x="96"/>
        <item x="47"/>
        <item x="264"/>
        <item x="233"/>
        <item x="252"/>
        <item x="270"/>
        <item x="75"/>
        <item x="139"/>
        <item x="155"/>
        <item x="177"/>
        <item x="127"/>
        <item x="36"/>
        <item x="149"/>
        <item x="64"/>
        <item x="24"/>
        <item x="272"/>
        <item x="221"/>
        <item x="263"/>
        <item x="53"/>
        <item x="68"/>
        <item x="164"/>
        <item x="128"/>
        <item x="2"/>
        <item x="78"/>
        <item x="217"/>
        <item x="234"/>
        <item x="297"/>
        <item x="125"/>
        <item x="66"/>
        <item x="288"/>
        <item x="303"/>
        <item x="161"/>
        <item x="258"/>
        <item x="277"/>
        <item x="249"/>
        <item x="54"/>
        <item x="159"/>
        <item x="219"/>
        <item x="144"/>
        <item x="33"/>
        <item x="94"/>
        <item x="236"/>
        <item x="179"/>
        <item x="150"/>
        <item x="6"/>
        <item x="167"/>
        <item x="50"/>
        <item x="83"/>
        <item x="57"/>
        <item x="178"/>
        <item x="117"/>
        <item x="69"/>
        <item x="255"/>
        <item x="202"/>
        <item x="188"/>
        <item x="112"/>
        <item x="302"/>
        <item x="19"/>
        <item x="92"/>
        <item x="298"/>
        <item x="250"/>
        <item x="184"/>
        <item x="240"/>
        <item x="287"/>
        <item x="276"/>
        <item x="126"/>
        <item x="26"/>
        <item x="245"/>
        <item x="200"/>
        <item x="256"/>
        <item x="170"/>
        <item x="228"/>
        <item x="235"/>
        <item x="56"/>
        <item x="151"/>
        <item x="28"/>
        <item x="238"/>
        <item x="62"/>
        <item x="216"/>
        <item x="121"/>
        <item x="119"/>
        <item x="98"/>
        <item x="304"/>
        <item x="220"/>
        <item x="118"/>
        <item x="275"/>
        <item x="309"/>
        <item x="190"/>
        <item x="35"/>
        <item x="212"/>
        <item x="214"/>
        <item x="21"/>
        <item x="215"/>
        <item x="157"/>
        <item x="143"/>
        <item x="93"/>
        <item x="65"/>
        <item x="153"/>
        <item x="299"/>
        <item x="102"/>
        <item x="16"/>
        <item x="124"/>
        <item x="0"/>
        <item x="147"/>
        <item x="208"/>
        <item x="110"/>
        <item x="61"/>
        <item x="224"/>
        <item x="136"/>
        <item x="1"/>
        <item x="262"/>
        <item x="51"/>
        <item x="55"/>
        <item x="205"/>
        <item x="162"/>
        <item x="279"/>
        <item x="142"/>
        <item x="73"/>
        <item x="106"/>
        <item x="90"/>
        <item x="194"/>
        <item x="135"/>
        <item x="104"/>
        <item x="227"/>
        <item x="89"/>
        <item x="133"/>
        <item x="198"/>
        <item x="283"/>
        <item x="130"/>
        <item x="266"/>
        <item x="183"/>
        <item x="204"/>
        <item x="267"/>
        <item x="76"/>
        <item x="305"/>
        <item x="152"/>
        <item x="156"/>
        <item x="4"/>
        <item x="257"/>
        <item x="37"/>
        <item x="81"/>
        <item x="218"/>
        <item x="148"/>
        <item x="116"/>
        <item x="232"/>
        <item x="22"/>
        <item x="239"/>
        <item x="25"/>
        <item x="271"/>
        <item x="253"/>
        <item x="243"/>
        <item x="225"/>
        <item x="165"/>
        <item x="261"/>
        <item x="241"/>
        <item x="231"/>
        <item x="289"/>
        <item x="122"/>
        <item x="120"/>
        <item x="209"/>
        <item x="71"/>
        <item x="30"/>
        <item x="145"/>
        <item x="39"/>
        <item x="199"/>
        <item x="294"/>
        <item x="59"/>
        <item x="273"/>
        <item x="182"/>
        <item x="80"/>
        <item x="193"/>
        <item x="5"/>
        <item x="84"/>
        <item x="230"/>
        <item x="44"/>
        <item x="176"/>
        <item x="109"/>
        <item x="95"/>
        <item x="82"/>
        <item x="9"/>
        <item x="206"/>
        <item x="180"/>
        <item x="10"/>
        <item x="251"/>
        <item x="138"/>
        <item x="226"/>
        <item x="168"/>
        <item x="88"/>
        <item x="63"/>
        <item x="175"/>
        <item x="38"/>
        <item x="223"/>
        <item x="103"/>
        <item x="295"/>
        <item x="185"/>
        <item x="210"/>
        <item x="259"/>
        <item x="296"/>
        <item x="222"/>
        <item x="14"/>
        <item x="20"/>
        <item x="107"/>
        <item x="265"/>
        <item x="17"/>
        <item x="281"/>
        <item x="292"/>
        <item x="282"/>
        <item x="154"/>
        <item x="173"/>
        <item x="254"/>
        <item x="67"/>
        <item x="293"/>
        <item x="12"/>
        <item x="260"/>
        <item x="46"/>
        <item x="207"/>
        <item x="160"/>
        <item x="274"/>
        <item x="169"/>
        <item x="132"/>
        <item x="301"/>
        <item x="15"/>
        <item x="34"/>
        <item x="13"/>
        <item x="18"/>
        <item x="141"/>
        <item x="137"/>
        <item x="211"/>
        <item x="246"/>
        <item x="196"/>
        <item x="97"/>
        <item x="111"/>
        <item x="307"/>
        <item x="191"/>
        <item x="187"/>
        <item x="3"/>
        <item x="186"/>
        <item x="91"/>
        <item t="default"/>
      </items>
    </pivotField>
    <pivotField numFmtId="9" showAll="0"/>
    <pivotField numFmtId="164" showAll="0"/>
    <pivotField dataField="1" numFmtId="164" showAll="0"/>
    <pivotField numFmtId="9"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Sum of Revenue" fld="5" baseField="0" baseItem="0" numFmtId="164"/>
    <dataField name="Sum of Operating Profit " fld="11" baseField="0" baseItem="0" numFmtId="164"/>
  </dataFields>
  <chartFormats count="8">
    <chartFormat chart="2" format="12" series="1">
      <pivotArea type="data" outline="0" fieldPosition="0">
        <references count="1">
          <reference field="4" count="1" selected="0">
            <x v="0"/>
          </reference>
        </references>
      </pivotArea>
    </chartFormat>
    <chartFormat chart="2" format="13" series="1">
      <pivotArea type="data" outline="0" fieldPosition="0">
        <references count="1">
          <reference field="4" count="1" selected="0">
            <x v="1"/>
          </reference>
        </references>
      </pivotArea>
    </chartFormat>
    <chartFormat chart="2" format="14" series="1">
      <pivotArea type="data" outline="0" fieldPosition="0">
        <references count="1">
          <reference field="4" count="1" selected="0">
            <x v="2"/>
          </reference>
        </references>
      </pivotArea>
    </chartFormat>
    <chartFormat chart="2" format="15" series="1">
      <pivotArea type="data" outline="0" fieldPosition="0">
        <references count="2">
          <reference field="4294967294" count="1" selected="0">
            <x v="1"/>
          </reference>
          <reference field="4" count="1" selected="0">
            <x v="1"/>
          </reference>
        </references>
      </pivotArea>
    </chartFormat>
    <chartFormat chart="2" format="16" series="1">
      <pivotArea type="data" outline="0" fieldPosition="0">
        <references count="2">
          <reference field="4294967294" count="1" selected="0">
            <x v="0"/>
          </reference>
          <reference field="4" count="1" selected="0">
            <x v="2"/>
          </reference>
        </references>
      </pivotArea>
    </chartFormat>
    <chartFormat chart="2" format="17" series="1">
      <pivotArea type="data" outline="0" fieldPosition="0">
        <references count="2">
          <reference field="4294967294" count="1" selected="0">
            <x v="1"/>
          </reference>
          <reference field="4" count="1" selected="0">
            <x v="2"/>
          </reference>
        </references>
      </pivotArea>
    </chartFormat>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BCF42B-AD9C-41CB-AA8C-9EDF142AB5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B14" firstHeaderRow="1" firstDataRow="1" firstDataCol="1"/>
  <pivotFields count="16">
    <pivotField showAll="0"/>
    <pivotField showAll="0"/>
    <pivotField axis="axisRow" showAll="0">
      <items count="3">
        <item x="0"/>
        <item x="1"/>
        <item t="default"/>
      </items>
    </pivotField>
    <pivotField showAll="0"/>
    <pivotField showAll="0"/>
    <pivotField numFmtId="164" showAll="0"/>
    <pivotField numFmtId="164" showAll="0"/>
    <pivotField numFmtId="164" showAll="0"/>
    <pivotField showAll="0"/>
    <pivotField numFmtId="9" showAll="0"/>
    <pivotField dataField="1" numFmtId="164" showAll="0"/>
    <pivotField numFmtId="164" showAll="0"/>
    <pivotField numFmtId="9" showAll="0"/>
    <pivotField showAll="0"/>
    <pivotField showAll="0"/>
    <pivotField showAll="0"/>
  </pivotFields>
  <rowFields count="1">
    <field x="2"/>
  </rowFields>
  <rowItems count="3">
    <i>
      <x/>
    </i>
    <i>
      <x v="1"/>
    </i>
    <i t="grand">
      <x/>
    </i>
  </rowItems>
  <colItems count="1">
    <i/>
  </colItems>
  <dataFields count="1">
    <dataField name="Sum of Gross profit" fld="10" baseField="0" baseItem="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6BA631-7F68-4ECE-B776-4BF1306AC9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8" firstHeaderRow="1" firstDataRow="1" firstDataCol="1"/>
  <pivotFields count="16">
    <pivotField showAll="0"/>
    <pivotField showAll="0">
      <items count="5">
        <item x="0"/>
        <item x="1"/>
        <item x="3"/>
        <item x="2"/>
        <item t="default"/>
      </items>
    </pivotField>
    <pivotField showAll="0"/>
    <pivotField axis="axisRow" showAll="0">
      <items count="5">
        <item x="2"/>
        <item x="3"/>
        <item x="0"/>
        <item x="1"/>
        <item t="default"/>
      </items>
    </pivotField>
    <pivotField showAll="0"/>
    <pivotField dataField="1" numFmtId="164" showAll="0"/>
    <pivotField numFmtId="164" showAll="0"/>
    <pivotField numFmtId="164" showAll="0"/>
    <pivotField showAll="0"/>
    <pivotField numFmtId="9" showAll="0"/>
    <pivotField numFmtId="164" showAll="0"/>
    <pivotField numFmtId="164" showAll="0"/>
    <pivotField numFmtId="9" showAll="0"/>
    <pivotField showAll="0"/>
    <pivotField showAll="0"/>
    <pivotField showAll="0"/>
  </pivotFields>
  <rowFields count="1">
    <field x="3"/>
  </rowFields>
  <rowItems count="5">
    <i>
      <x/>
    </i>
    <i>
      <x v="1"/>
    </i>
    <i>
      <x v="2"/>
    </i>
    <i>
      <x v="3"/>
    </i>
    <i t="grand">
      <x/>
    </i>
  </rowItems>
  <colItems count="1">
    <i/>
  </colItems>
  <dataFields count="1">
    <dataField name="Sum of Revenue" fld="5" baseField="0" baseItem="0" numFmtId="164"/>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85FC33-52BF-4EF8-92ED-1E33F652B0DC}" sourceName="Region">
  <pivotTables>
    <pivotTable tabId="4" name="PivotTable2"/>
  </pivotTables>
  <data>
    <tabular pivotCacheId="282797698">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A36323C-2F74-452F-B314-F0639BC6AC4D}" sourceName="Product">
  <pivotTables>
    <pivotTable tabId="4" name="PivotTable2"/>
  </pivotTables>
  <data>
    <tabular pivotCacheId="28279769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0DA70F9-80D7-48A3-B0D8-84A7CA248888}" sourceName="Customer Segment">
  <pivotTables>
    <pivotTable tabId="4" name="PivotTable4"/>
  </pivotTables>
  <data>
    <tabular pivotCacheId="282797698">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C61A67F3-CCD2-45AC-81C1-172F413FA7DA}" sourceName="Business Unit">
  <pivotTables>
    <pivotTable tabId="4" name="PivotTable4"/>
  </pivotTables>
  <data>
    <tabular pivotCacheId="28279769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FEE56EC-1078-43EF-BAA7-9C73911AC584}" cache="Slicer_Region" caption="Region" columnCount="2" style="SlicerStyleOther2" rowHeight="257175"/>
  <slicer name="Product" xr10:uid="{D2A9DF07-45AD-4337-A273-5EDC7D3D7B18}" cache="Slicer_Product" caption="Product" columnCount="2" style="SlicerStyleOther2" rowHeight="257175"/>
  <slicer name="Customer Segment" xr10:uid="{2EC9972D-C5E3-4838-AEC1-4A80F469490F}" cache="Slicer_Customer_Segment" caption="Customer Segment" style="SlicerStyleOther2" rowHeight="257175"/>
  <slicer name="Business Unit" xr10:uid="{9F94015E-5366-4802-9FA7-F9A4341247AB}" cache="Slicer_Business_Unit" caption="Business Unit" style="SlicerStyleOther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B2C7-FD14-44B2-8CAE-037B731DEC0C}">
  <dimension ref="A1:P502"/>
  <sheetViews>
    <sheetView workbookViewId="0">
      <selection activeCell="C8" sqref="C8"/>
    </sheetView>
  </sheetViews>
  <sheetFormatPr defaultRowHeight="15" x14ac:dyDescent="0.25"/>
  <cols>
    <col min="1" max="1" width="10.42578125" style="3" bestFit="1" customWidth="1"/>
    <col min="3" max="3" width="13.140625" bestFit="1" customWidth="1"/>
    <col min="5" max="5" width="18.140625" bestFit="1" customWidth="1"/>
    <col min="6" max="6" width="13.140625" style="2" bestFit="1" customWidth="1"/>
    <col min="7" max="7" width="12.42578125" bestFit="1" customWidth="1"/>
    <col min="8" max="8" width="18.85546875" bestFit="1" customWidth="1"/>
    <col min="9" max="9" width="10.42578125" bestFit="1" customWidth="1"/>
    <col min="10" max="10" width="10.7109375" style="1" bestFit="1" customWidth="1"/>
    <col min="11" max="11" width="12.28515625" bestFit="1" customWidth="1"/>
    <col min="12" max="12" width="16.7109375" bestFit="1" customWidth="1"/>
    <col min="13" max="13" width="15.7109375" bestFit="1" customWidth="1"/>
  </cols>
  <sheetData>
    <row r="1" spans="1:16" x14ac:dyDescent="0.25">
      <c r="A1" s="4" t="s">
        <v>0</v>
      </c>
      <c r="B1" s="5" t="s">
        <v>1</v>
      </c>
      <c r="C1" s="5" t="s">
        <v>2</v>
      </c>
      <c r="D1" s="5" t="s">
        <v>3</v>
      </c>
      <c r="E1" s="5" t="s">
        <v>4</v>
      </c>
      <c r="F1" s="6" t="s">
        <v>5</v>
      </c>
      <c r="G1" s="6" t="s">
        <v>6</v>
      </c>
      <c r="H1" s="6" t="s">
        <v>7</v>
      </c>
      <c r="I1" s="5" t="s">
        <v>8</v>
      </c>
      <c r="J1" s="7" t="s">
        <v>9</v>
      </c>
      <c r="K1" s="12" t="s">
        <v>287</v>
      </c>
      <c r="L1" s="12" t="s">
        <v>288</v>
      </c>
      <c r="M1" s="12" t="s">
        <v>292</v>
      </c>
      <c r="N1" s="12" t="s">
        <v>289</v>
      </c>
      <c r="O1" s="12" t="s">
        <v>290</v>
      </c>
      <c r="P1" s="12" t="s">
        <v>291</v>
      </c>
    </row>
    <row r="2" spans="1:16" x14ac:dyDescent="0.25">
      <c r="A2" s="9" t="s">
        <v>67</v>
      </c>
      <c r="B2" s="8" t="s">
        <v>24</v>
      </c>
      <c r="C2" s="8" t="s">
        <v>17</v>
      </c>
      <c r="D2" s="8" t="s">
        <v>13</v>
      </c>
      <c r="E2" s="8" t="s">
        <v>19</v>
      </c>
      <c r="F2" s="10">
        <v>24914</v>
      </c>
      <c r="G2" s="10">
        <v>13355.75</v>
      </c>
      <c r="H2" s="10">
        <v>3492.55</v>
      </c>
      <c r="I2" s="8">
        <v>306</v>
      </c>
      <c r="J2" s="11">
        <v>0.15</v>
      </c>
      <c r="K2" s="10">
        <f>F2-G2</f>
        <v>11558.25</v>
      </c>
      <c r="L2" s="10">
        <f>F2-G2-H2</f>
        <v>8065.7</v>
      </c>
      <c r="M2" s="11">
        <f>L2/F2</f>
        <v>0.3237416713494421</v>
      </c>
      <c r="N2" s="8" t="str">
        <f>TEXT(A2,"MMMM")</f>
        <v>January</v>
      </c>
      <c r="O2" s="8" t="str">
        <f>"Q"&amp;ROUNDUP(MONTH(A2)/3,0)</f>
        <v>Q1</v>
      </c>
      <c r="P2" s="8" t="str">
        <f>TEXT(A2,"YYYY")</f>
        <v>2025</v>
      </c>
    </row>
    <row r="3" spans="1:16" x14ac:dyDescent="0.25">
      <c r="A3" s="9" t="s">
        <v>277</v>
      </c>
      <c r="B3" s="8" t="s">
        <v>11</v>
      </c>
      <c r="C3" s="8" t="s">
        <v>12</v>
      </c>
      <c r="D3" s="8" t="s">
        <v>22</v>
      </c>
      <c r="E3" s="8" t="s">
        <v>14</v>
      </c>
      <c r="F3" s="10">
        <v>10969</v>
      </c>
      <c r="G3" s="10">
        <v>7645.14</v>
      </c>
      <c r="H3" s="10">
        <v>1601.84</v>
      </c>
      <c r="I3" s="8">
        <v>317</v>
      </c>
      <c r="J3" s="11">
        <v>0.1</v>
      </c>
      <c r="K3" s="10">
        <f t="shared" ref="K3:K66" si="0">F3-G3</f>
        <v>3323.8599999999997</v>
      </c>
      <c r="L3" s="10">
        <f t="shared" ref="L3:L66" si="1">F3-G3-H3</f>
        <v>1722.0199999999998</v>
      </c>
      <c r="M3" s="11">
        <f t="shared" ref="M3:M66" si="2">L3/F3</f>
        <v>0.15698969824049591</v>
      </c>
      <c r="N3" s="8" t="str">
        <f t="shared" ref="N3:N66" si="3">TEXT(A3,"MMMM")</f>
        <v>January</v>
      </c>
      <c r="O3" s="8" t="str">
        <f t="shared" ref="O3:O66" si="4">"Q"&amp;ROUNDUP(MONTH(A3)/3,0)</f>
        <v>Q1</v>
      </c>
      <c r="P3" s="8" t="str">
        <f t="shared" ref="P3:P66" si="5">TEXT(A3,"YYYY")</f>
        <v>2025</v>
      </c>
    </row>
    <row r="4" spans="1:16" x14ac:dyDescent="0.25">
      <c r="A4" s="9" t="s">
        <v>251</v>
      </c>
      <c r="B4" s="8" t="s">
        <v>21</v>
      </c>
      <c r="C4" s="8" t="s">
        <v>17</v>
      </c>
      <c r="D4" s="8" t="s">
        <v>22</v>
      </c>
      <c r="E4" s="8" t="s">
        <v>19</v>
      </c>
      <c r="F4" s="10">
        <v>19664</v>
      </c>
      <c r="G4" s="10">
        <v>10337.700000000001</v>
      </c>
      <c r="H4" s="10">
        <v>3789.49</v>
      </c>
      <c r="I4" s="8">
        <v>166</v>
      </c>
      <c r="J4" s="11">
        <v>0.05</v>
      </c>
      <c r="K4" s="10">
        <f t="shared" si="0"/>
        <v>9326.2999999999993</v>
      </c>
      <c r="L4" s="10">
        <f t="shared" si="1"/>
        <v>5536.8099999999995</v>
      </c>
      <c r="M4" s="11">
        <f t="shared" si="2"/>
        <v>0.28157089096826687</v>
      </c>
      <c r="N4" s="8" t="str">
        <f t="shared" si="3"/>
        <v>January</v>
      </c>
      <c r="O4" s="8" t="str">
        <f t="shared" si="4"/>
        <v>Q1</v>
      </c>
      <c r="P4" s="8" t="str">
        <f t="shared" si="5"/>
        <v>2025</v>
      </c>
    </row>
    <row r="5" spans="1:16" x14ac:dyDescent="0.25">
      <c r="A5" s="9" t="s">
        <v>222</v>
      </c>
      <c r="B5" s="8" t="s">
        <v>24</v>
      </c>
      <c r="C5" s="8" t="s">
        <v>12</v>
      </c>
      <c r="D5" s="8" t="s">
        <v>22</v>
      </c>
      <c r="E5" s="8" t="s">
        <v>14</v>
      </c>
      <c r="F5" s="10">
        <v>13992</v>
      </c>
      <c r="G5" s="10">
        <v>9241.01</v>
      </c>
      <c r="H5" s="10">
        <v>1440.29</v>
      </c>
      <c r="I5" s="8">
        <v>497</v>
      </c>
      <c r="J5" s="11">
        <v>0.05</v>
      </c>
      <c r="K5" s="10">
        <f t="shared" si="0"/>
        <v>4750.99</v>
      </c>
      <c r="L5" s="10">
        <f t="shared" si="1"/>
        <v>3310.7</v>
      </c>
      <c r="M5" s="11">
        <f t="shared" si="2"/>
        <v>0.23661377930245853</v>
      </c>
      <c r="N5" s="8" t="str">
        <f t="shared" si="3"/>
        <v>January</v>
      </c>
      <c r="O5" s="8" t="str">
        <f t="shared" si="4"/>
        <v>Q1</v>
      </c>
      <c r="P5" s="8" t="str">
        <f t="shared" si="5"/>
        <v>2025</v>
      </c>
    </row>
    <row r="6" spans="1:16" x14ac:dyDescent="0.25">
      <c r="A6" s="9" t="s">
        <v>120</v>
      </c>
      <c r="B6" s="8" t="s">
        <v>21</v>
      </c>
      <c r="C6" s="8" t="s">
        <v>17</v>
      </c>
      <c r="D6" s="8" t="s">
        <v>27</v>
      </c>
      <c r="E6" s="8" t="s">
        <v>25</v>
      </c>
      <c r="F6" s="10">
        <v>22331</v>
      </c>
      <c r="G6" s="10">
        <v>13643.61</v>
      </c>
      <c r="H6" s="10">
        <v>3208.3</v>
      </c>
      <c r="I6" s="8">
        <v>354</v>
      </c>
      <c r="J6" s="11">
        <v>0.05</v>
      </c>
      <c r="K6" s="10">
        <f t="shared" si="0"/>
        <v>8687.39</v>
      </c>
      <c r="L6" s="10">
        <f t="shared" si="1"/>
        <v>5479.0899999999992</v>
      </c>
      <c r="M6" s="11">
        <f t="shared" si="2"/>
        <v>0.24535802247996055</v>
      </c>
      <c r="N6" s="8" t="str">
        <f t="shared" si="3"/>
        <v>January</v>
      </c>
      <c r="O6" s="8" t="str">
        <f t="shared" si="4"/>
        <v>Q1</v>
      </c>
      <c r="P6" s="8" t="str">
        <f t="shared" si="5"/>
        <v>2025</v>
      </c>
    </row>
    <row r="7" spans="1:16" x14ac:dyDescent="0.25">
      <c r="A7" s="9" t="s">
        <v>236</v>
      </c>
      <c r="B7" s="8" t="s">
        <v>24</v>
      </c>
      <c r="C7" s="8" t="s">
        <v>12</v>
      </c>
      <c r="D7" s="8" t="s">
        <v>22</v>
      </c>
      <c r="E7" s="8" t="s">
        <v>25</v>
      </c>
      <c r="F7" s="10">
        <v>14680</v>
      </c>
      <c r="G7" s="10">
        <v>9189.43</v>
      </c>
      <c r="H7" s="10">
        <v>3059.48</v>
      </c>
      <c r="I7" s="8">
        <v>406</v>
      </c>
      <c r="J7" s="11">
        <v>0</v>
      </c>
      <c r="K7" s="10">
        <f t="shared" si="0"/>
        <v>5490.57</v>
      </c>
      <c r="L7" s="10">
        <f t="shared" si="1"/>
        <v>2431.0899999999997</v>
      </c>
      <c r="M7" s="11">
        <f t="shared" si="2"/>
        <v>0.16560558583106266</v>
      </c>
      <c r="N7" s="8" t="str">
        <f t="shared" si="3"/>
        <v>January</v>
      </c>
      <c r="O7" s="8" t="str">
        <f t="shared" si="4"/>
        <v>Q1</v>
      </c>
      <c r="P7" s="8" t="str">
        <f t="shared" si="5"/>
        <v>2025</v>
      </c>
    </row>
    <row r="8" spans="1:16" x14ac:dyDescent="0.25">
      <c r="A8" s="9" t="s">
        <v>84</v>
      </c>
      <c r="B8" s="8" t="s">
        <v>16</v>
      </c>
      <c r="C8" s="8" t="s">
        <v>12</v>
      </c>
      <c r="D8" s="8" t="s">
        <v>18</v>
      </c>
      <c r="E8" s="8" t="s">
        <v>14</v>
      </c>
      <c r="F8" s="10">
        <v>25444</v>
      </c>
      <c r="G8" s="10">
        <v>15844.97</v>
      </c>
      <c r="H8" s="10">
        <v>5270.05</v>
      </c>
      <c r="I8" s="8">
        <v>202</v>
      </c>
      <c r="J8" s="11">
        <v>0.1</v>
      </c>
      <c r="K8" s="10">
        <f t="shared" si="0"/>
        <v>9599.0300000000007</v>
      </c>
      <c r="L8" s="10">
        <f t="shared" si="1"/>
        <v>4328.9800000000005</v>
      </c>
      <c r="M8" s="11">
        <f t="shared" si="2"/>
        <v>0.17013755698789501</v>
      </c>
      <c r="N8" s="8" t="str">
        <f t="shared" si="3"/>
        <v>January</v>
      </c>
      <c r="O8" s="8" t="str">
        <f t="shared" si="4"/>
        <v>Q1</v>
      </c>
      <c r="P8" s="8" t="str">
        <f t="shared" si="5"/>
        <v>2025</v>
      </c>
    </row>
    <row r="9" spans="1:16" x14ac:dyDescent="0.25">
      <c r="A9" s="9" t="s">
        <v>84</v>
      </c>
      <c r="B9" s="8" t="s">
        <v>24</v>
      </c>
      <c r="C9" s="8" t="s">
        <v>12</v>
      </c>
      <c r="D9" s="8" t="s">
        <v>18</v>
      </c>
      <c r="E9" s="8" t="s">
        <v>19</v>
      </c>
      <c r="F9" s="10">
        <v>13637</v>
      </c>
      <c r="G9" s="10">
        <v>6197.45</v>
      </c>
      <c r="H9" s="10">
        <v>2599.1799999999998</v>
      </c>
      <c r="I9" s="8">
        <v>131</v>
      </c>
      <c r="J9" s="11">
        <v>0.15</v>
      </c>
      <c r="K9" s="10">
        <f t="shared" si="0"/>
        <v>7439.55</v>
      </c>
      <c r="L9" s="10">
        <f t="shared" si="1"/>
        <v>4840.3700000000008</v>
      </c>
      <c r="M9" s="11">
        <f t="shared" si="2"/>
        <v>0.35494390261787789</v>
      </c>
      <c r="N9" s="8" t="str">
        <f t="shared" si="3"/>
        <v>January</v>
      </c>
      <c r="O9" s="8" t="str">
        <f t="shared" si="4"/>
        <v>Q1</v>
      </c>
      <c r="P9" s="8" t="str">
        <f t="shared" si="5"/>
        <v>2025</v>
      </c>
    </row>
    <row r="10" spans="1:16" x14ac:dyDescent="0.25">
      <c r="A10" s="9" t="s">
        <v>84</v>
      </c>
      <c r="B10" s="8" t="s">
        <v>11</v>
      </c>
      <c r="C10" s="8" t="s">
        <v>17</v>
      </c>
      <c r="D10" s="8" t="s">
        <v>18</v>
      </c>
      <c r="E10" s="8" t="s">
        <v>14</v>
      </c>
      <c r="F10" s="10">
        <v>32190</v>
      </c>
      <c r="G10" s="10">
        <v>14999.8</v>
      </c>
      <c r="H10" s="10">
        <v>4837.55</v>
      </c>
      <c r="I10" s="8">
        <v>130</v>
      </c>
      <c r="J10" s="11">
        <v>0.1</v>
      </c>
      <c r="K10" s="10">
        <f t="shared" si="0"/>
        <v>17190.2</v>
      </c>
      <c r="L10" s="10">
        <f t="shared" si="1"/>
        <v>12352.650000000001</v>
      </c>
      <c r="M10" s="11">
        <f t="shared" si="2"/>
        <v>0.38374184529356947</v>
      </c>
      <c r="N10" s="8" t="str">
        <f t="shared" si="3"/>
        <v>January</v>
      </c>
      <c r="O10" s="8" t="str">
        <f t="shared" si="4"/>
        <v>Q1</v>
      </c>
      <c r="P10" s="8" t="str">
        <f t="shared" si="5"/>
        <v>2025</v>
      </c>
    </row>
    <row r="11" spans="1:16" x14ac:dyDescent="0.25">
      <c r="A11" s="9" t="s">
        <v>84</v>
      </c>
      <c r="B11" s="8" t="s">
        <v>16</v>
      </c>
      <c r="C11" s="8" t="s">
        <v>12</v>
      </c>
      <c r="D11" s="8" t="s">
        <v>27</v>
      </c>
      <c r="E11" s="8" t="s">
        <v>19</v>
      </c>
      <c r="F11" s="10">
        <v>28651</v>
      </c>
      <c r="G11" s="10">
        <v>17654.93</v>
      </c>
      <c r="H11" s="10">
        <v>3771.83</v>
      </c>
      <c r="I11" s="8">
        <v>421</v>
      </c>
      <c r="J11" s="11">
        <v>0.15</v>
      </c>
      <c r="K11" s="10">
        <f t="shared" si="0"/>
        <v>10996.07</v>
      </c>
      <c r="L11" s="10">
        <f t="shared" si="1"/>
        <v>7224.24</v>
      </c>
      <c r="M11" s="11">
        <f t="shared" si="2"/>
        <v>0.25214617290844998</v>
      </c>
      <c r="N11" s="8" t="str">
        <f t="shared" si="3"/>
        <v>January</v>
      </c>
      <c r="O11" s="8" t="str">
        <f t="shared" si="4"/>
        <v>Q1</v>
      </c>
      <c r="P11" s="8" t="str">
        <f t="shared" si="5"/>
        <v>2025</v>
      </c>
    </row>
    <row r="12" spans="1:16" x14ac:dyDescent="0.25">
      <c r="A12" s="9" t="s">
        <v>84</v>
      </c>
      <c r="B12" s="8" t="s">
        <v>11</v>
      </c>
      <c r="C12" s="8" t="s">
        <v>17</v>
      </c>
      <c r="D12" s="8" t="s">
        <v>22</v>
      </c>
      <c r="E12" s="8" t="s">
        <v>25</v>
      </c>
      <c r="F12" s="10">
        <v>25897</v>
      </c>
      <c r="G12" s="10">
        <v>16292.71</v>
      </c>
      <c r="H12" s="10">
        <v>2178</v>
      </c>
      <c r="I12" s="8">
        <v>425</v>
      </c>
      <c r="J12" s="11">
        <v>0.05</v>
      </c>
      <c r="K12" s="10">
        <f t="shared" si="0"/>
        <v>9604.2900000000009</v>
      </c>
      <c r="L12" s="10">
        <f t="shared" si="1"/>
        <v>7426.2900000000009</v>
      </c>
      <c r="M12" s="11">
        <f t="shared" si="2"/>
        <v>0.28676255936981121</v>
      </c>
      <c r="N12" s="8" t="str">
        <f t="shared" si="3"/>
        <v>January</v>
      </c>
      <c r="O12" s="8" t="str">
        <f t="shared" si="4"/>
        <v>Q1</v>
      </c>
      <c r="P12" s="8" t="str">
        <f t="shared" si="5"/>
        <v>2025</v>
      </c>
    </row>
    <row r="13" spans="1:16" x14ac:dyDescent="0.25">
      <c r="A13" s="9" t="s">
        <v>15</v>
      </c>
      <c r="B13" s="8" t="s">
        <v>16</v>
      </c>
      <c r="C13" s="8" t="s">
        <v>17</v>
      </c>
      <c r="D13" s="8" t="s">
        <v>18</v>
      </c>
      <c r="E13" s="8" t="s">
        <v>19</v>
      </c>
      <c r="F13" s="10">
        <v>11140</v>
      </c>
      <c r="G13" s="10">
        <v>5743.69</v>
      </c>
      <c r="H13" s="10">
        <v>1679.35</v>
      </c>
      <c r="I13" s="8">
        <v>23</v>
      </c>
      <c r="J13" s="11">
        <v>0.15</v>
      </c>
      <c r="K13" s="10">
        <f t="shared" si="0"/>
        <v>5396.31</v>
      </c>
      <c r="L13" s="10">
        <f t="shared" si="1"/>
        <v>3716.9600000000005</v>
      </c>
      <c r="M13" s="11">
        <f t="shared" si="2"/>
        <v>0.33365888689407547</v>
      </c>
      <c r="N13" s="8" t="str">
        <f t="shared" si="3"/>
        <v>January</v>
      </c>
      <c r="O13" s="8" t="str">
        <f t="shared" si="4"/>
        <v>Q1</v>
      </c>
      <c r="P13" s="8" t="str">
        <f t="shared" si="5"/>
        <v>2025</v>
      </c>
    </row>
    <row r="14" spans="1:16" x14ac:dyDescent="0.25">
      <c r="A14" s="9" t="s">
        <v>15</v>
      </c>
      <c r="B14" s="8" t="s">
        <v>16</v>
      </c>
      <c r="C14" s="8" t="s">
        <v>12</v>
      </c>
      <c r="D14" s="8" t="s">
        <v>27</v>
      </c>
      <c r="E14" s="8" t="s">
        <v>19</v>
      </c>
      <c r="F14" s="10">
        <v>33267</v>
      </c>
      <c r="G14" s="10">
        <v>24375.82</v>
      </c>
      <c r="H14" s="10">
        <v>3429.81</v>
      </c>
      <c r="I14" s="8">
        <v>465</v>
      </c>
      <c r="J14" s="11">
        <v>0.1</v>
      </c>
      <c r="K14" s="10">
        <f t="shared" si="0"/>
        <v>8891.18</v>
      </c>
      <c r="L14" s="10">
        <f t="shared" si="1"/>
        <v>5461.3700000000008</v>
      </c>
      <c r="M14" s="11">
        <f t="shared" si="2"/>
        <v>0.16416779390988068</v>
      </c>
      <c r="N14" s="8" t="str">
        <f t="shared" si="3"/>
        <v>January</v>
      </c>
      <c r="O14" s="8" t="str">
        <f t="shared" si="4"/>
        <v>Q1</v>
      </c>
      <c r="P14" s="8" t="str">
        <f t="shared" si="5"/>
        <v>2025</v>
      </c>
    </row>
    <row r="15" spans="1:16" x14ac:dyDescent="0.25">
      <c r="A15" s="9" t="s">
        <v>31</v>
      </c>
      <c r="B15" s="8" t="s">
        <v>24</v>
      </c>
      <c r="C15" s="8" t="s">
        <v>12</v>
      </c>
      <c r="D15" s="8" t="s">
        <v>13</v>
      </c>
      <c r="E15" s="8" t="s">
        <v>19</v>
      </c>
      <c r="F15" s="10">
        <v>25673</v>
      </c>
      <c r="G15" s="10">
        <v>14642.58</v>
      </c>
      <c r="H15" s="10">
        <v>2291.7399999999998</v>
      </c>
      <c r="I15" s="8">
        <v>477</v>
      </c>
      <c r="J15" s="11">
        <v>0.15</v>
      </c>
      <c r="K15" s="10">
        <f t="shared" si="0"/>
        <v>11030.42</v>
      </c>
      <c r="L15" s="10">
        <f t="shared" si="1"/>
        <v>8738.68</v>
      </c>
      <c r="M15" s="11">
        <f t="shared" si="2"/>
        <v>0.34038406107583846</v>
      </c>
      <c r="N15" s="8" t="str">
        <f t="shared" si="3"/>
        <v>January</v>
      </c>
      <c r="O15" s="8" t="str">
        <f t="shared" si="4"/>
        <v>Q1</v>
      </c>
      <c r="P15" s="8" t="str">
        <f t="shared" si="5"/>
        <v>2025</v>
      </c>
    </row>
    <row r="16" spans="1:16" x14ac:dyDescent="0.25">
      <c r="A16" s="9" t="s">
        <v>31</v>
      </c>
      <c r="B16" s="8" t="s">
        <v>11</v>
      </c>
      <c r="C16" s="8" t="s">
        <v>12</v>
      </c>
      <c r="D16" s="8" t="s">
        <v>22</v>
      </c>
      <c r="E16" s="8" t="s">
        <v>25</v>
      </c>
      <c r="F16" s="10">
        <v>20170</v>
      </c>
      <c r="G16" s="10">
        <v>10819.82</v>
      </c>
      <c r="H16" s="10">
        <v>2411.94</v>
      </c>
      <c r="I16" s="8">
        <v>450</v>
      </c>
      <c r="J16" s="11">
        <v>0.1</v>
      </c>
      <c r="K16" s="10">
        <f t="shared" si="0"/>
        <v>9350.18</v>
      </c>
      <c r="L16" s="10">
        <f t="shared" si="1"/>
        <v>6938.24</v>
      </c>
      <c r="M16" s="11">
        <f t="shared" si="2"/>
        <v>0.34398810114030737</v>
      </c>
      <c r="N16" s="8" t="str">
        <f t="shared" si="3"/>
        <v>January</v>
      </c>
      <c r="O16" s="8" t="str">
        <f t="shared" si="4"/>
        <v>Q1</v>
      </c>
      <c r="P16" s="8" t="str">
        <f t="shared" si="5"/>
        <v>2025</v>
      </c>
    </row>
    <row r="17" spans="1:16" x14ac:dyDescent="0.25">
      <c r="A17" s="9" t="s">
        <v>117</v>
      </c>
      <c r="B17" s="8" t="s">
        <v>24</v>
      </c>
      <c r="C17" s="8" t="s">
        <v>17</v>
      </c>
      <c r="D17" s="8" t="s">
        <v>18</v>
      </c>
      <c r="E17" s="8" t="s">
        <v>14</v>
      </c>
      <c r="F17" s="10">
        <v>42982</v>
      </c>
      <c r="G17" s="10">
        <v>24046.639999999999</v>
      </c>
      <c r="H17" s="10">
        <v>4229.33</v>
      </c>
      <c r="I17" s="8">
        <v>475</v>
      </c>
      <c r="J17" s="11">
        <v>0.05</v>
      </c>
      <c r="K17" s="10">
        <f t="shared" si="0"/>
        <v>18935.36</v>
      </c>
      <c r="L17" s="10">
        <f t="shared" si="1"/>
        <v>14706.03</v>
      </c>
      <c r="M17" s="11">
        <f t="shared" si="2"/>
        <v>0.34214392071099531</v>
      </c>
      <c r="N17" s="8" t="str">
        <f t="shared" si="3"/>
        <v>January</v>
      </c>
      <c r="O17" s="8" t="str">
        <f t="shared" si="4"/>
        <v>Q1</v>
      </c>
      <c r="P17" s="8" t="str">
        <f t="shared" si="5"/>
        <v>2025</v>
      </c>
    </row>
    <row r="18" spans="1:16" x14ac:dyDescent="0.25">
      <c r="A18" s="9" t="s">
        <v>117</v>
      </c>
      <c r="B18" s="8" t="s">
        <v>16</v>
      </c>
      <c r="C18" s="8" t="s">
        <v>12</v>
      </c>
      <c r="D18" s="8" t="s">
        <v>13</v>
      </c>
      <c r="E18" s="8" t="s">
        <v>14</v>
      </c>
      <c r="F18" s="10">
        <v>37905</v>
      </c>
      <c r="G18" s="10">
        <v>23552.880000000001</v>
      </c>
      <c r="H18" s="10">
        <v>5774.99</v>
      </c>
      <c r="I18" s="8">
        <v>302</v>
      </c>
      <c r="J18" s="11">
        <v>0.15</v>
      </c>
      <c r="K18" s="10">
        <f t="shared" si="0"/>
        <v>14352.119999999999</v>
      </c>
      <c r="L18" s="10">
        <f t="shared" si="1"/>
        <v>8577.1299999999992</v>
      </c>
      <c r="M18" s="11">
        <f t="shared" si="2"/>
        <v>0.22627964648463261</v>
      </c>
      <c r="N18" s="8" t="str">
        <f t="shared" si="3"/>
        <v>January</v>
      </c>
      <c r="O18" s="8" t="str">
        <f t="shared" si="4"/>
        <v>Q1</v>
      </c>
      <c r="P18" s="8" t="str">
        <f t="shared" si="5"/>
        <v>2025</v>
      </c>
    </row>
    <row r="19" spans="1:16" x14ac:dyDescent="0.25">
      <c r="A19" s="9" t="s">
        <v>106</v>
      </c>
      <c r="B19" s="8" t="s">
        <v>21</v>
      </c>
      <c r="C19" s="8" t="s">
        <v>12</v>
      </c>
      <c r="D19" s="8" t="s">
        <v>13</v>
      </c>
      <c r="E19" s="8" t="s">
        <v>14</v>
      </c>
      <c r="F19" s="10">
        <v>13273</v>
      </c>
      <c r="G19" s="10">
        <v>7972.92</v>
      </c>
      <c r="H19" s="10">
        <v>2158.5300000000002</v>
      </c>
      <c r="I19" s="8">
        <v>455</v>
      </c>
      <c r="J19" s="11">
        <v>0</v>
      </c>
      <c r="K19" s="10">
        <f t="shared" si="0"/>
        <v>5300.08</v>
      </c>
      <c r="L19" s="10">
        <f t="shared" si="1"/>
        <v>3141.5499999999997</v>
      </c>
      <c r="M19" s="11">
        <f t="shared" si="2"/>
        <v>0.23668725985082495</v>
      </c>
      <c r="N19" s="8" t="str">
        <f t="shared" si="3"/>
        <v>January</v>
      </c>
      <c r="O19" s="8" t="str">
        <f t="shared" si="4"/>
        <v>Q1</v>
      </c>
      <c r="P19" s="8" t="str">
        <f t="shared" si="5"/>
        <v>2025</v>
      </c>
    </row>
    <row r="20" spans="1:16" x14ac:dyDescent="0.25">
      <c r="A20" s="9" t="s">
        <v>99</v>
      </c>
      <c r="B20" s="8" t="s">
        <v>16</v>
      </c>
      <c r="C20" s="8" t="s">
        <v>12</v>
      </c>
      <c r="D20" s="8" t="s">
        <v>22</v>
      </c>
      <c r="E20" s="8" t="s">
        <v>25</v>
      </c>
      <c r="F20" s="10">
        <v>33313</v>
      </c>
      <c r="G20" s="10">
        <v>22331.71</v>
      </c>
      <c r="H20" s="10">
        <v>5480.65</v>
      </c>
      <c r="I20" s="8">
        <v>23</v>
      </c>
      <c r="J20" s="11">
        <v>0</v>
      </c>
      <c r="K20" s="10">
        <f t="shared" si="0"/>
        <v>10981.29</v>
      </c>
      <c r="L20" s="10">
        <f t="shared" si="1"/>
        <v>5500.6400000000012</v>
      </c>
      <c r="M20" s="11">
        <f t="shared" si="2"/>
        <v>0.16511992315312343</v>
      </c>
      <c r="N20" s="8" t="str">
        <f t="shared" si="3"/>
        <v>January</v>
      </c>
      <c r="O20" s="8" t="str">
        <f t="shared" si="4"/>
        <v>Q1</v>
      </c>
      <c r="P20" s="8" t="str">
        <f t="shared" si="5"/>
        <v>2025</v>
      </c>
    </row>
    <row r="21" spans="1:16" x14ac:dyDescent="0.25">
      <c r="A21" s="9" t="s">
        <v>99</v>
      </c>
      <c r="B21" s="8" t="s">
        <v>16</v>
      </c>
      <c r="C21" s="8" t="s">
        <v>17</v>
      </c>
      <c r="D21" s="8" t="s">
        <v>13</v>
      </c>
      <c r="E21" s="8" t="s">
        <v>14</v>
      </c>
      <c r="F21" s="10">
        <v>16481</v>
      </c>
      <c r="G21" s="10">
        <v>9742.75</v>
      </c>
      <c r="H21" s="10">
        <v>2821.73</v>
      </c>
      <c r="I21" s="8">
        <v>479</v>
      </c>
      <c r="J21" s="11">
        <v>0.05</v>
      </c>
      <c r="K21" s="10">
        <f t="shared" si="0"/>
        <v>6738.25</v>
      </c>
      <c r="L21" s="10">
        <f t="shared" si="1"/>
        <v>3916.52</v>
      </c>
      <c r="M21" s="11">
        <f t="shared" si="2"/>
        <v>0.23763849280990232</v>
      </c>
      <c r="N21" s="8" t="str">
        <f t="shared" si="3"/>
        <v>January</v>
      </c>
      <c r="O21" s="8" t="str">
        <f t="shared" si="4"/>
        <v>Q1</v>
      </c>
      <c r="P21" s="8" t="str">
        <f t="shared" si="5"/>
        <v>2025</v>
      </c>
    </row>
    <row r="22" spans="1:16" x14ac:dyDescent="0.25">
      <c r="A22" s="9" t="s">
        <v>99</v>
      </c>
      <c r="B22" s="8" t="s">
        <v>11</v>
      </c>
      <c r="C22" s="8" t="s">
        <v>12</v>
      </c>
      <c r="D22" s="8" t="s">
        <v>27</v>
      </c>
      <c r="E22" s="8" t="s">
        <v>14</v>
      </c>
      <c r="F22" s="10">
        <v>24042</v>
      </c>
      <c r="G22" s="10">
        <v>13416.98</v>
      </c>
      <c r="H22" s="10">
        <v>4201.2700000000004</v>
      </c>
      <c r="I22" s="8">
        <v>228</v>
      </c>
      <c r="J22" s="11">
        <v>0</v>
      </c>
      <c r="K22" s="10">
        <f t="shared" si="0"/>
        <v>10625.02</v>
      </c>
      <c r="L22" s="10">
        <f t="shared" si="1"/>
        <v>6423.75</v>
      </c>
      <c r="M22" s="11">
        <f t="shared" si="2"/>
        <v>0.26718866982780137</v>
      </c>
      <c r="N22" s="8" t="str">
        <f t="shared" si="3"/>
        <v>January</v>
      </c>
      <c r="O22" s="8" t="str">
        <f t="shared" si="4"/>
        <v>Q1</v>
      </c>
      <c r="P22" s="8" t="str">
        <f t="shared" si="5"/>
        <v>2025</v>
      </c>
    </row>
    <row r="23" spans="1:16" x14ac:dyDescent="0.25">
      <c r="A23" s="9" t="s">
        <v>137</v>
      </c>
      <c r="B23" s="8" t="s">
        <v>21</v>
      </c>
      <c r="C23" s="8" t="s">
        <v>17</v>
      </c>
      <c r="D23" s="8" t="s">
        <v>13</v>
      </c>
      <c r="E23" s="8" t="s">
        <v>19</v>
      </c>
      <c r="F23" s="10">
        <v>33588</v>
      </c>
      <c r="G23" s="10">
        <v>15303.45</v>
      </c>
      <c r="H23" s="10">
        <v>7018.64</v>
      </c>
      <c r="I23" s="8">
        <v>451</v>
      </c>
      <c r="J23" s="11">
        <v>0.05</v>
      </c>
      <c r="K23" s="10">
        <f t="shared" si="0"/>
        <v>18284.55</v>
      </c>
      <c r="L23" s="10">
        <f t="shared" si="1"/>
        <v>11265.91</v>
      </c>
      <c r="M23" s="11">
        <f t="shared" si="2"/>
        <v>0.33541473145170891</v>
      </c>
      <c r="N23" s="8" t="str">
        <f t="shared" si="3"/>
        <v>January</v>
      </c>
      <c r="O23" s="8" t="str">
        <f t="shared" si="4"/>
        <v>Q1</v>
      </c>
      <c r="P23" s="8" t="str">
        <f t="shared" si="5"/>
        <v>2025</v>
      </c>
    </row>
    <row r="24" spans="1:16" x14ac:dyDescent="0.25">
      <c r="A24" s="9" t="s">
        <v>64</v>
      </c>
      <c r="B24" s="8" t="s">
        <v>24</v>
      </c>
      <c r="C24" s="8" t="s">
        <v>17</v>
      </c>
      <c r="D24" s="8" t="s">
        <v>27</v>
      </c>
      <c r="E24" s="8" t="s">
        <v>25</v>
      </c>
      <c r="F24" s="10">
        <v>33577</v>
      </c>
      <c r="G24" s="10">
        <v>15126.69</v>
      </c>
      <c r="H24" s="10">
        <v>7037.09</v>
      </c>
      <c r="I24" s="8">
        <v>285</v>
      </c>
      <c r="J24" s="11">
        <v>0.02</v>
      </c>
      <c r="K24" s="10">
        <f t="shared" si="0"/>
        <v>18450.309999999998</v>
      </c>
      <c r="L24" s="10">
        <f t="shared" si="1"/>
        <v>11413.219999999998</v>
      </c>
      <c r="M24" s="11">
        <f t="shared" si="2"/>
        <v>0.33991184441730937</v>
      </c>
      <c r="N24" s="8" t="str">
        <f t="shared" si="3"/>
        <v>January</v>
      </c>
      <c r="O24" s="8" t="str">
        <f t="shared" si="4"/>
        <v>Q1</v>
      </c>
      <c r="P24" s="8" t="str">
        <f t="shared" si="5"/>
        <v>2025</v>
      </c>
    </row>
    <row r="25" spans="1:16" x14ac:dyDescent="0.25">
      <c r="A25" s="9" t="s">
        <v>64</v>
      </c>
      <c r="B25" s="8" t="s">
        <v>21</v>
      </c>
      <c r="C25" s="8" t="s">
        <v>12</v>
      </c>
      <c r="D25" s="8" t="s">
        <v>27</v>
      </c>
      <c r="E25" s="8" t="s">
        <v>25</v>
      </c>
      <c r="F25" s="10">
        <v>20169</v>
      </c>
      <c r="G25" s="10">
        <v>14505.27</v>
      </c>
      <c r="H25" s="10">
        <v>3081.14</v>
      </c>
      <c r="I25" s="8">
        <v>368</v>
      </c>
      <c r="J25" s="11">
        <v>0.05</v>
      </c>
      <c r="K25" s="10">
        <f t="shared" si="0"/>
        <v>5663.73</v>
      </c>
      <c r="L25" s="10">
        <f t="shared" si="1"/>
        <v>2582.5899999999997</v>
      </c>
      <c r="M25" s="11">
        <f t="shared" si="2"/>
        <v>0.12804749863652137</v>
      </c>
      <c r="N25" s="8" t="str">
        <f t="shared" si="3"/>
        <v>January</v>
      </c>
      <c r="O25" s="8" t="str">
        <f t="shared" si="4"/>
        <v>Q1</v>
      </c>
      <c r="P25" s="8" t="str">
        <f t="shared" si="5"/>
        <v>2025</v>
      </c>
    </row>
    <row r="26" spans="1:16" x14ac:dyDescent="0.25">
      <c r="A26" s="9" t="s">
        <v>224</v>
      </c>
      <c r="B26" s="8" t="s">
        <v>21</v>
      </c>
      <c r="C26" s="8" t="s">
        <v>12</v>
      </c>
      <c r="D26" s="8" t="s">
        <v>22</v>
      </c>
      <c r="E26" s="8" t="s">
        <v>14</v>
      </c>
      <c r="F26" s="10">
        <v>35917</v>
      </c>
      <c r="G26" s="10">
        <v>20084.53</v>
      </c>
      <c r="H26" s="10">
        <v>7500.61</v>
      </c>
      <c r="I26" s="8">
        <v>101</v>
      </c>
      <c r="J26" s="11">
        <v>0</v>
      </c>
      <c r="K26" s="10">
        <f t="shared" si="0"/>
        <v>15832.470000000001</v>
      </c>
      <c r="L26" s="10">
        <f t="shared" si="1"/>
        <v>8331.86</v>
      </c>
      <c r="M26" s="11">
        <f t="shared" si="2"/>
        <v>0.23197538769941811</v>
      </c>
      <c r="N26" s="8" t="str">
        <f t="shared" si="3"/>
        <v>January</v>
      </c>
      <c r="O26" s="8" t="str">
        <f t="shared" si="4"/>
        <v>Q1</v>
      </c>
      <c r="P26" s="8" t="str">
        <f t="shared" si="5"/>
        <v>2025</v>
      </c>
    </row>
    <row r="27" spans="1:16" x14ac:dyDescent="0.25">
      <c r="A27" s="9" t="s">
        <v>224</v>
      </c>
      <c r="B27" s="8" t="s">
        <v>24</v>
      </c>
      <c r="C27" s="8" t="s">
        <v>12</v>
      </c>
      <c r="D27" s="8" t="s">
        <v>13</v>
      </c>
      <c r="E27" s="8" t="s">
        <v>14</v>
      </c>
      <c r="F27" s="10">
        <v>31275</v>
      </c>
      <c r="G27" s="10">
        <v>14720.45</v>
      </c>
      <c r="H27" s="10">
        <v>4538.41</v>
      </c>
      <c r="I27" s="8">
        <v>154</v>
      </c>
      <c r="J27" s="11">
        <v>0.05</v>
      </c>
      <c r="K27" s="10">
        <f t="shared" si="0"/>
        <v>16554.55</v>
      </c>
      <c r="L27" s="10">
        <f t="shared" si="1"/>
        <v>12016.14</v>
      </c>
      <c r="M27" s="11">
        <f t="shared" si="2"/>
        <v>0.3842091127098321</v>
      </c>
      <c r="N27" s="8" t="str">
        <f t="shared" si="3"/>
        <v>January</v>
      </c>
      <c r="O27" s="8" t="str">
        <f t="shared" si="4"/>
        <v>Q1</v>
      </c>
      <c r="P27" s="8" t="str">
        <f t="shared" si="5"/>
        <v>2025</v>
      </c>
    </row>
    <row r="28" spans="1:16" x14ac:dyDescent="0.25">
      <c r="A28" s="9" t="s">
        <v>224</v>
      </c>
      <c r="B28" s="8" t="s">
        <v>24</v>
      </c>
      <c r="C28" s="8" t="s">
        <v>17</v>
      </c>
      <c r="D28" s="8" t="s">
        <v>18</v>
      </c>
      <c r="E28" s="8" t="s">
        <v>19</v>
      </c>
      <c r="F28" s="10">
        <v>7615</v>
      </c>
      <c r="G28" s="10">
        <v>5666.91</v>
      </c>
      <c r="H28" s="10">
        <v>954.69</v>
      </c>
      <c r="I28" s="8">
        <v>370</v>
      </c>
      <c r="J28" s="11">
        <v>0.15</v>
      </c>
      <c r="K28" s="10">
        <f t="shared" si="0"/>
        <v>1948.0900000000001</v>
      </c>
      <c r="L28" s="10">
        <f t="shared" si="1"/>
        <v>993.40000000000009</v>
      </c>
      <c r="M28" s="11">
        <f t="shared" si="2"/>
        <v>0.13045305318450429</v>
      </c>
      <c r="N28" s="8" t="str">
        <f t="shared" si="3"/>
        <v>January</v>
      </c>
      <c r="O28" s="8" t="str">
        <f t="shared" si="4"/>
        <v>Q1</v>
      </c>
      <c r="P28" s="8" t="str">
        <f t="shared" si="5"/>
        <v>2025</v>
      </c>
    </row>
    <row r="29" spans="1:16" x14ac:dyDescent="0.25">
      <c r="A29" s="9" t="s">
        <v>152</v>
      </c>
      <c r="B29" s="8" t="s">
        <v>11</v>
      </c>
      <c r="C29" s="8" t="s">
        <v>17</v>
      </c>
      <c r="D29" s="8" t="s">
        <v>27</v>
      </c>
      <c r="E29" s="8" t="s">
        <v>25</v>
      </c>
      <c r="F29" s="10">
        <v>20626</v>
      </c>
      <c r="G29" s="10">
        <v>11879.5</v>
      </c>
      <c r="H29" s="10">
        <v>3942.57</v>
      </c>
      <c r="I29" s="8">
        <v>244</v>
      </c>
      <c r="J29" s="11">
        <v>0</v>
      </c>
      <c r="K29" s="10">
        <f t="shared" si="0"/>
        <v>8746.5</v>
      </c>
      <c r="L29" s="10">
        <f t="shared" si="1"/>
        <v>4803.93</v>
      </c>
      <c r="M29" s="11">
        <f t="shared" si="2"/>
        <v>0.23290652574420637</v>
      </c>
      <c r="N29" s="8" t="str">
        <f t="shared" si="3"/>
        <v>January</v>
      </c>
      <c r="O29" s="8" t="str">
        <f t="shared" si="4"/>
        <v>Q1</v>
      </c>
      <c r="P29" s="8" t="str">
        <f t="shared" si="5"/>
        <v>2025</v>
      </c>
    </row>
    <row r="30" spans="1:16" x14ac:dyDescent="0.25">
      <c r="A30" s="9" t="s">
        <v>152</v>
      </c>
      <c r="B30" s="8" t="s">
        <v>16</v>
      </c>
      <c r="C30" s="8" t="s">
        <v>12</v>
      </c>
      <c r="D30" s="8" t="s">
        <v>18</v>
      </c>
      <c r="E30" s="8" t="s">
        <v>25</v>
      </c>
      <c r="F30" s="10">
        <v>5418</v>
      </c>
      <c r="G30" s="10">
        <v>3108.4</v>
      </c>
      <c r="H30" s="10">
        <v>1072.53</v>
      </c>
      <c r="I30" s="8">
        <v>128</v>
      </c>
      <c r="J30" s="11">
        <v>0</v>
      </c>
      <c r="K30" s="10">
        <f t="shared" si="0"/>
        <v>2309.6</v>
      </c>
      <c r="L30" s="10">
        <f t="shared" si="1"/>
        <v>1237.07</v>
      </c>
      <c r="M30" s="11">
        <f t="shared" si="2"/>
        <v>0.22832595053525284</v>
      </c>
      <c r="N30" s="8" t="str">
        <f t="shared" si="3"/>
        <v>January</v>
      </c>
      <c r="O30" s="8" t="str">
        <f t="shared" si="4"/>
        <v>Q1</v>
      </c>
      <c r="P30" s="8" t="str">
        <f t="shared" si="5"/>
        <v>2025</v>
      </c>
    </row>
    <row r="31" spans="1:16" x14ac:dyDescent="0.25">
      <c r="A31" s="9" t="s">
        <v>152</v>
      </c>
      <c r="B31" s="8" t="s">
        <v>16</v>
      </c>
      <c r="C31" s="8" t="s">
        <v>12</v>
      </c>
      <c r="D31" s="8" t="s">
        <v>18</v>
      </c>
      <c r="E31" s="8" t="s">
        <v>14</v>
      </c>
      <c r="F31" s="10">
        <v>41256</v>
      </c>
      <c r="G31" s="10">
        <v>30141.32</v>
      </c>
      <c r="H31" s="10">
        <v>8145.35</v>
      </c>
      <c r="I31" s="8">
        <v>257</v>
      </c>
      <c r="J31" s="11">
        <v>0.15</v>
      </c>
      <c r="K31" s="10">
        <f t="shared" si="0"/>
        <v>11114.68</v>
      </c>
      <c r="L31" s="10">
        <f t="shared" si="1"/>
        <v>2969.33</v>
      </c>
      <c r="M31" s="11">
        <f t="shared" si="2"/>
        <v>7.1973288733759938E-2</v>
      </c>
      <c r="N31" s="8" t="str">
        <f t="shared" si="3"/>
        <v>January</v>
      </c>
      <c r="O31" s="8" t="str">
        <f t="shared" si="4"/>
        <v>Q1</v>
      </c>
      <c r="P31" s="8" t="str">
        <f t="shared" si="5"/>
        <v>2025</v>
      </c>
    </row>
    <row r="32" spans="1:16" x14ac:dyDescent="0.25">
      <c r="A32" s="9" t="s">
        <v>249</v>
      </c>
      <c r="B32" s="8" t="s">
        <v>16</v>
      </c>
      <c r="C32" s="8" t="s">
        <v>12</v>
      </c>
      <c r="D32" s="8" t="s">
        <v>22</v>
      </c>
      <c r="E32" s="8" t="s">
        <v>25</v>
      </c>
      <c r="F32" s="10">
        <v>15676</v>
      </c>
      <c r="G32" s="10">
        <v>11069.55</v>
      </c>
      <c r="H32" s="10">
        <v>2965.53</v>
      </c>
      <c r="I32" s="8">
        <v>119</v>
      </c>
      <c r="J32" s="11">
        <v>0.02</v>
      </c>
      <c r="K32" s="10">
        <f t="shared" si="0"/>
        <v>4606.4500000000007</v>
      </c>
      <c r="L32" s="10">
        <f t="shared" si="1"/>
        <v>1640.9200000000005</v>
      </c>
      <c r="M32" s="11">
        <f t="shared" si="2"/>
        <v>0.10467721357489158</v>
      </c>
      <c r="N32" s="8" t="str">
        <f t="shared" si="3"/>
        <v>January</v>
      </c>
      <c r="O32" s="8" t="str">
        <f t="shared" si="4"/>
        <v>Q1</v>
      </c>
      <c r="P32" s="8" t="str">
        <f t="shared" si="5"/>
        <v>2025</v>
      </c>
    </row>
    <row r="33" spans="1:16" x14ac:dyDescent="0.25">
      <c r="A33" s="9" t="s">
        <v>127</v>
      </c>
      <c r="B33" s="8" t="s">
        <v>21</v>
      </c>
      <c r="C33" s="8" t="s">
        <v>17</v>
      </c>
      <c r="D33" s="8" t="s">
        <v>22</v>
      </c>
      <c r="E33" s="8" t="s">
        <v>25</v>
      </c>
      <c r="F33" s="10">
        <v>13307</v>
      </c>
      <c r="G33" s="10">
        <v>8949.16</v>
      </c>
      <c r="H33" s="10">
        <v>2044.65</v>
      </c>
      <c r="I33" s="8">
        <v>391</v>
      </c>
      <c r="J33" s="11">
        <v>0</v>
      </c>
      <c r="K33" s="10">
        <f t="shared" si="0"/>
        <v>4357.84</v>
      </c>
      <c r="L33" s="10">
        <f t="shared" si="1"/>
        <v>2313.19</v>
      </c>
      <c r="M33" s="11">
        <f t="shared" si="2"/>
        <v>0.17383256932441574</v>
      </c>
      <c r="N33" s="8" t="str">
        <f t="shared" si="3"/>
        <v>January</v>
      </c>
      <c r="O33" s="8" t="str">
        <f t="shared" si="4"/>
        <v>Q1</v>
      </c>
      <c r="P33" s="8" t="str">
        <f t="shared" si="5"/>
        <v>2025</v>
      </c>
    </row>
    <row r="34" spans="1:16" x14ac:dyDescent="0.25">
      <c r="A34" s="9" t="s">
        <v>254</v>
      </c>
      <c r="B34" s="8" t="s">
        <v>16</v>
      </c>
      <c r="C34" s="8" t="s">
        <v>12</v>
      </c>
      <c r="D34" s="8" t="s">
        <v>13</v>
      </c>
      <c r="E34" s="8" t="s">
        <v>25</v>
      </c>
      <c r="F34" s="10">
        <v>46575</v>
      </c>
      <c r="G34" s="10">
        <v>29112.75</v>
      </c>
      <c r="H34" s="10">
        <v>9883.31</v>
      </c>
      <c r="I34" s="8">
        <v>46</v>
      </c>
      <c r="J34" s="11">
        <v>0.1</v>
      </c>
      <c r="K34" s="10">
        <f t="shared" si="0"/>
        <v>17462.25</v>
      </c>
      <c r="L34" s="10">
        <f t="shared" si="1"/>
        <v>7578.9400000000005</v>
      </c>
      <c r="M34" s="11">
        <f t="shared" si="2"/>
        <v>0.16272549651100376</v>
      </c>
      <c r="N34" s="8" t="str">
        <f t="shared" si="3"/>
        <v>January</v>
      </c>
      <c r="O34" s="8" t="str">
        <f t="shared" si="4"/>
        <v>Q1</v>
      </c>
      <c r="P34" s="8" t="str">
        <f t="shared" si="5"/>
        <v>2025</v>
      </c>
    </row>
    <row r="35" spans="1:16" x14ac:dyDescent="0.25">
      <c r="A35" s="9" t="s">
        <v>164</v>
      </c>
      <c r="B35" s="8" t="s">
        <v>16</v>
      </c>
      <c r="C35" s="8" t="s">
        <v>17</v>
      </c>
      <c r="D35" s="8" t="s">
        <v>22</v>
      </c>
      <c r="E35" s="8" t="s">
        <v>14</v>
      </c>
      <c r="F35" s="10">
        <v>13137</v>
      </c>
      <c r="G35" s="10">
        <v>7953.54</v>
      </c>
      <c r="H35" s="10">
        <v>1610.3</v>
      </c>
      <c r="I35" s="8">
        <v>92</v>
      </c>
      <c r="J35" s="11">
        <v>0.05</v>
      </c>
      <c r="K35" s="10">
        <f t="shared" si="0"/>
        <v>5183.46</v>
      </c>
      <c r="L35" s="10">
        <f t="shared" si="1"/>
        <v>3573.16</v>
      </c>
      <c r="M35" s="11">
        <f t="shared" si="2"/>
        <v>0.27199208342848441</v>
      </c>
      <c r="N35" s="8" t="str">
        <f t="shared" si="3"/>
        <v>January</v>
      </c>
      <c r="O35" s="8" t="str">
        <f t="shared" si="4"/>
        <v>Q1</v>
      </c>
      <c r="P35" s="8" t="str">
        <f t="shared" si="5"/>
        <v>2025</v>
      </c>
    </row>
    <row r="36" spans="1:16" x14ac:dyDescent="0.25">
      <c r="A36" s="9" t="s">
        <v>248</v>
      </c>
      <c r="B36" s="8" t="s">
        <v>24</v>
      </c>
      <c r="C36" s="8" t="s">
        <v>17</v>
      </c>
      <c r="D36" s="8" t="s">
        <v>13</v>
      </c>
      <c r="E36" s="8" t="s">
        <v>25</v>
      </c>
      <c r="F36" s="10">
        <v>21350</v>
      </c>
      <c r="G36" s="10">
        <v>9819.32</v>
      </c>
      <c r="H36" s="10">
        <v>1859.12</v>
      </c>
      <c r="I36" s="8">
        <v>194</v>
      </c>
      <c r="J36" s="11">
        <v>0.02</v>
      </c>
      <c r="K36" s="10">
        <f t="shared" si="0"/>
        <v>11530.68</v>
      </c>
      <c r="L36" s="10">
        <f t="shared" si="1"/>
        <v>9671.5600000000013</v>
      </c>
      <c r="M36" s="11">
        <f t="shared" si="2"/>
        <v>0.45300046838407498</v>
      </c>
      <c r="N36" s="8" t="str">
        <f t="shared" si="3"/>
        <v>January</v>
      </c>
      <c r="O36" s="8" t="str">
        <f t="shared" si="4"/>
        <v>Q1</v>
      </c>
      <c r="P36" s="8" t="str">
        <f t="shared" si="5"/>
        <v>2025</v>
      </c>
    </row>
    <row r="37" spans="1:16" x14ac:dyDescent="0.25">
      <c r="A37" s="9" t="s">
        <v>193</v>
      </c>
      <c r="B37" s="8" t="s">
        <v>21</v>
      </c>
      <c r="C37" s="8" t="s">
        <v>17</v>
      </c>
      <c r="D37" s="8" t="s">
        <v>27</v>
      </c>
      <c r="E37" s="8" t="s">
        <v>19</v>
      </c>
      <c r="F37" s="10">
        <v>41485</v>
      </c>
      <c r="G37" s="10">
        <v>30473.06</v>
      </c>
      <c r="H37" s="10">
        <v>8428.09</v>
      </c>
      <c r="I37" s="8">
        <v>476</v>
      </c>
      <c r="J37" s="11">
        <v>0.02</v>
      </c>
      <c r="K37" s="10">
        <f t="shared" si="0"/>
        <v>11011.939999999999</v>
      </c>
      <c r="L37" s="10">
        <f t="shared" si="1"/>
        <v>2583.8499999999985</v>
      </c>
      <c r="M37" s="11">
        <f t="shared" si="2"/>
        <v>6.2283958057129045E-2</v>
      </c>
      <c r="N37" s="8" t="str">
        <f t="shared" si="3"/>
        <v>February</v>
      </c>
      <c r="O37" s="8" t="str">
        <f t="shared" si="4"/>
        <v>Q1</v>
      </c>
      <c r="P37" s="8" t="str">
        <f t="shared" si="5"/>
        <v>2025</v>
      </c>
    </row>
    <row r="38" spans="1:16" x14ac:dyDescent="0.25">
      <c r="A38" s="9" t="s">
        <v>34</v>
      </c>
      <c r="B38" s="8" t="s">
        <v>11</v>
      </c>
      <c r="C38" s="8" t="s">
        <v>12</v>
      </c>
      <c r="D38" s="8" t="s">
        <v>22</v>
      </c>
      <c r="E38" s="8" t="s">
        <v>25</v>
      </c>
      <c r="F38" s="10">
        <v>30216</v>
      </c>
      <c r="G38" s="10">
        <v>17056.5</v>
      </c>
      <c r="H38" s="10">
        <v>6631.11</v>
      </c>
      <c r="I38" s="8">
        <v>280</v>
      </c>
      <c r="J38" s="11">
        <v>0.05</v>
      </c>
      <c r="K38" s="10">
        <f t="shared" si="0"/>
        <v>13159.5</v>
      </c>
      <c r="L38" s="10">
        <f t="shared" si="1"/>
        <v>6528.39</v>
      </c>
      <c r="M38" s="11">
        <f t="shared" si="2"/>
        <v>0.2160573868149325</v>
      </c>
      <c r="N38" s="8" t="str">
        <f t="shared" si="3"/>
        <v>February</v>
      </c>
      <c r="O38" s="8" t="str">
        <f t="shared" si="4"/>
        <v>Q1</v>
      </c>
      <c r="P38" s="8" t="str">
        <f t="shared" si="5"/>
        <v>2025</v>
      </c>
    </row>
    <row r="39" spans="1:16" x14ac:dyDescent="0.25">
      <c r="A39" s="9" t="s">
        <v>140</v>
      </c>
      <c r="B39" s="8" t="s">
        <v>11</v>
      </c>
      <c r="C39" s="8" t="s">
        <v>17</v>
      </c>
      <c r="D39" s="8" t="s">
        <v>27</v>
      </c>
      <c r="E39" s="8" t="s">
        <v>19</v>
      </c>
      <c r="F39" s="10">
        <v>35731</v>
      </c>
      <c r="G39" s="10">
        <v>20819.11</v>
      </c>
      <c r="H39" s="10">
        <v>4373.29</v>
      </c>
      <c r="I39" s="8">
        <v>150</v>
      </c>
      <c r="J39" s="11">
        <v>0.15</v>
      </c>
      <c r="K39" s="10">
        <f t="shared" si="0"/>
        <v>14911.89</v>
      </c>
      <c r="L39" s="10">
        <f t="shared" si="1"/>
        <v>10538.599999999999</v>
      </c>
      <c r="M39" s="11">
        <f t="shared" si="2"/>
        <v>0.29494276678514453</v>
      </c>
      <c r="N39" s="8" t="str">
        <f t="shared" si="3"/>
        <v>February</v>
      </c>
      <c r="O39" s="8" t="str">
        <f t="shared" si="4"/>
        <v>Q1</v>
      </c>
      <c r="P39" s="8" t="str">
        <f t="shared" si="5"/>
        <v>2025</v>
      </c>
    </row>
    <row r="40" spans="1:16" x14ac:dyDescent="0.25">
      <c r="A40" s="9" t="s">
        <v>140</v>
      </c>
      <c r="B40" s="8" t="s">
        <v>24</v>
      </c>
      <c r="C40" s="8" t="s">
        <v>17</v>
      </c>
      <c r="D40" s="8" t="s">
        <v>22</v>
      </c>
      <c r="E40" s="8" t="s">
        <v>25</v>
      </c>
      <c r="F40" s="10">
        <v>30078</v>
      </c>
      <c r="G40" s="10">
        <v>19252.88</v>
      </c>
      <c r="H40" s="10">
        <v>6592.73</v>
      </c>
      <c r="I40" s="8">
        <v>356</v>
      </c>
      <c r="J40" s="11">
        <v>0.02</v>
      </c>
      <c r="K40" s="10">
        <f t="shared" si="0"/>
        <v>10825.119999999999</v>
      </c>
      <c r="L40" s="10">
        <f t="shared" si="1"/>
        <v>4232.3899999999994</v>
      </c>
      <c r="M40" s="11">
        <f t="shared" si="2"/>
        <v>0.14071381075869405</v>
      </c>
      <c r="N40" s="8" t="str">
        <f t="shared" si="3"/>
        <v>February</v>
      </c>
      <c r="O40" s="8" t="str">
        <f t="shared" si="4"/>
        <v>Q1</v>
      </c>
      <c r="P40" s="8" t="str">
        <f t="shared" si="5"/>
        <v>2025</v>
      </c>
    </row>
    <row r="41" spans="1:16" x14ac:dyDescent="0.25">
      <c r="A41" s="9" t="s">
        <v>52</v>
      </c>
      <c r="B41" s="8" t="s">
        <v>24</v>
      </c>
      <c r="C41" s="8" t="s">
        <v>12</v>
      </c>
      <c r="D41" s="8" t="s">
        <v>22</v>
      </c>
      <c r="E41" s="8" t="s">
        <v>25</v>
      </c>
      <c r="F41" s="10">
        <v>21009</v>
      </c>
      <c r="G41" s="10">
        <v>11783.07</v>
      </c>
      <c r="H41" s="10">
        <v>2144.69</v>
      </c>
      <c r="I41" s="8">
        <v>436</v>
      </c>
      <c r="J41" s="11">
        <v>0.15</v>
      </c>
      <c r="K41" s="10">
        <f t="shared" si="0"/>
        <v>9225.93</v>
      </c>
      <c r="L41" s="10">
        <f t="shared" si="1"/>
        <v>7081.24</v>
      </c>
      <c r="M41" s="11">
        <f t="shared" si="2"/>
        <v>0.33705745156837547</v>
      </c>
      <c r="N41" s="8" t="str">
        <f t="shared" si="3"/>
        <v>February</v>
      </c>
      <c r="O41" s="8" t="str">
        <f t="shared" si="4"/>
        <v>Q1</v>
      </c>
      <c r="P41" s="8" t="str">
        <f t="shared" si="5"/>
        <v>2025</v>
      </c>
    </row>
    <row r="42" spans="1:16" x14ac:dyDescent="0.25">
      <c r="A42" s="9" t="s">
        <v>97</v>
      </c>
      <c r="B42" s="8" t="s">
        <v>24</v>
      </c>
      <c r="C42" s="8" t="s">
        <v>17</v>
      </c>
      <c r="D42" s="8" t="s">
        <v>27</v>
      </c>
      <c r="E42" s="8" t="s">
        <v>19</v>
      </c>
      <c r="F42" s="10">
        <v>8908</v>
      </c>
      <c r="G42" s="10">
        <v>4452.01</v>
      </c>
      <c r="H42" s="10">
        <v>1096.27</v>
      </c>
      <c r="I42" s="8">
        <v>393</v>
      </c>
      <c r="J42" s="11">
        <v>0.15</v>
      </c>
      <c r="K42" s="10">
        <f t="shared" si="0"/>
        <v>4455.99</v>
      </c>
      <c r="L42" s="10">
        <f t="shared" si="1"/>
        <v>3359.72</v>
      </c>
      <c r="M42" s="11">
        <f t="shared" si="2"/>
        <v>0.37715761113605745</v>
      </c>
      <c r="N42" s="8" t="str">
        <f t="shared" si="3"/>
        <v>February</v>
      </c>
      <c r="O42" s="8" t="str">
        <f t="shared" si="4"/>
        <v>Q1</v>
      </c>
      <c r="P42" s="8" t="str">
        <f t="shared" si="5"/>
        <v>2025</v>
      </c>
    </row>
    <row r="43" spans="1:16" x14ac:dyDescent="0.25">
      <c r="A43" s="9" t="s">
        <v>97</v>
      </c>
      <c r="B43" s="8" t="s">
        <v>24</v>
      </c>
      <c r="C43" s="8" t="s">
        <v>17</v>
      </c>
      <c r="D43" s="8" t="s">
        <v>22</v>
      </c>
      <c r="E43" s="8" t="s">
        <v>14</v>
      </c>
      <c r="F43" s="10">
        <v>20004</v>
      </c>
      <c r="G43" s="10">
        <v>11300.68</v>
      </c>
      <c r="H43" s="10">
        <v>3646.87</v>
      </c>
      <c r="I43" s="8">
        <v>62</v>
      </c>
      <c r="J43" s="11">
        <v>0</v>
      </c>
      <c r="K43" s="10">
        <f t="shared" si="0"/>
        <v>8703.32</v>
      </c>
      <c r="L43" s="10">
        <f t="shared" si="1"/>
        <v>5056.45</v>
      </c>
      <c r="M43" s="11">
        <f t="shared" si="2"/>
        <v>0.25277194561087779</v>
      </c>
      <c r="N43" s="8" t="str">
        <f t="shared" si="3"/>
        <v>February</v>
      </c>
      <c r="O43" s="8" t="str">
        <f t="shared" si="4"/>
        <v>Q1</v>
      </c>
      <c r="P43" s="8" t="str">
        <f t="shared" si="5"/>
        <v>2025</v>
      </c>
    </row>
    <row r="44" spans="1:16" x14ac:dyDescent="0.25">
      <c r="A44" s="9" t="s">
        <v>70</v>
      </c>
      <c r="B44" s="8" t="s">
        <v>21</v>
      </c>
      <c r="C44" s="8" t="s">
        <v>17</v>
      </c>
      <c r="D44" s="8" t="s">
        <v>18</v>
      </c>
      <c r="E44" s="8" t="s">
        <v>14</v>
      </c>
      <c r="F44" s="10">
        <v>34846</v>
      </c>
      <c r="G44" s="10">
        <v>20013.18</v>
      </c>
      <c r="H44" s="10">
        <v>5859.95</v>
      </c>
      <c r="I44" s="8">
        <v>109</v>
      </c>
      <c r="J44" s="11">
        <v>0.1</v>
      </c>
      <c r="K44" s="10">
        <f t="shared" si="0"/>
        <v>14832.82</v>
      </c>
      <c r="L44" s="10">
        <f t="shared" si="1"/>
        <v>8972.869999999999</v>
      </c>
      <c r="M44" s="11">
        <f t="shared" si="2"/>
        <v>0.25750071744246106</v>
      </c>
      <c r="N44" s="8" t="str">
        <f t="shared" si="3"/>
        <v>February</v>
      </c>
      <c r="O44" s="8" t="str">
        <f t="shared" si="4"/>
        <v>Q1</v>
      </c>
      <c r="P44" s="8" t="str">
        <f t="shared" si="5"/>
        <v>2025</v>
      </c>
    </row>
    <row r="45" spans="1:16" x14ac:dyDescent="0.25">
      <c r="A45" s="9" t="s">
        <v>70</v>
      </c>
      <c r="B45" s="8" t="s">
        <v>24</v>
      </c>
      <c r="C45" s="8" t="s">
        <v>12</v>
      </c>
      <c r="D45" s="8" t="s">
        <v>18</v>
      </c>
      <c r="E45" s="8" t="s">
        <v>14</v>
      </c>
      <c r="F45" s="10">
        <v>42815</v>
      </c>
      <c r="G45" s="10">
        <v>27351.67</v>
      </c>
      <c r="H45" s="10">
        <v>3746.54</v>
      </c>
      <c r="I45" s="8">
        <v>86</v>
      </c>
      <c r="J45" s="11">
        <v>0.15</v>
      </c>
      <c r="K45" s="10">
        <f t="shared" si="0"/>
        <v>15463.330000000002</v>
      </c>
      <c r="L45" s="10">
        <f t="shared" si="1"/>
        <v>11716.79</v>
      </c>
      <c r="M45" s="11">
        <f t="shared" si="2"/>
        <v>0.27366086651874344</v>
      </c>
      <c r="N45" s="8" t="str">
        <f t="shared" si="3"/>
        <v>February</v>
      </c>
      <c r="O45" s="8" t="str">
        <f t="shared" si="4"/>
        <v>Q1</v>
      </c>
      <c r="P45" s="8" t="str">
        <f t="shared" si="5"/>
        <v>2025</v>
      </c>
    </row>
    <row r="46" spans="1:16" x14ac:dyDescent="0.25">
      <c r="A46" s="9" t="s">
        <v>70</v>
      </c>
      <c r="B46" s="8" t="s">
        <v>16</v>
      </c>
      <c r="C46" s="8" t="s">
        <v>12</v>
      </c>
      <c r="D46" s="8" t="s">
        <v>13</v>
      </c>
      <c r="E46" s="8" t="s">
        <v>25</v>
      </c>
      <c r="F46" s="10">
        <v>34489</v>
      </c>
      <c r="G46" s="10">
        <v>20339.89</v>
      </c>
      <c r="H46" s="10">
        <v>5257.17</v>
      </c>
      <c r="I46" s="8">
        <v>75</v>
      </c>
      <c r="J46" s="11">
        <v>0.15</v>
      </c>
      <c r="K46" s="10">
        <f t="shared" si="0"/>
        <v>14149.11</v>
      </c>
      <c r="L46" s="10">
        <f t="shared" si="1"/>
        <v>8891.94</v>
      </c>
      <c r="M46" s="11">
        <f t="shared" si="2"/>
        <v>0.25781959465336773</v>
      </c>
      <c r="N46" s="8" t="str">
        <f t="shared" si="3"/>
        <v>February</v>
      </c>
      <c r="O46" s="8" t="str">
        <f t="shared" si="4"/>
        <v>Q1</v>
      </c>
      <c r="P46" s="8" t="str">
        <f t="shared" si="5"/>
        <v>2025</v>
      </c>
    </row>
    <row r="47" spans="1:16" x14ac:dyDescent="0.25">
      <c r="A47" s="9" t="s">
        <v>70</v>
      </c>
      <c r="B47" s="8" t="s">
        <v>21</v>
      </c>
      <c r="C47" s="8" t="s">
        <v>17</v>
      </c>
      <c r="D47" s="8" t="s">
        <v>22</v>
      </c>
      <c r="E47" s="8" t="s">
        <v>14</v>
      </c>
      <c r="F47" s="10">
        <v>10376</v>
      </c>
      <c r="G47" s="10">
        <v>5503.34</v>
      </c>
      <c r="H47" s="10">
        <v>1382.08</v>
      </c>
      <c r="I47" s="8">
        <v>411</v>
      </c>
      <c r="J47" s="11">
        <v>0.02</v>
      </c>
      <c r="K47" s="10">
        <f t="shared" si="0"/>
        <v>4872.66</v>
      </c>
      <c r="L47" s="10">
        <f t="shared" si="1"/>
        <v>3490.58</v>
      </c>
      <c r="M47" s="11">
        <f t="shared" si="2"/>
        <v>0.33640902081727064</v>
      </c>
      <c r="N47" s="8" t="str">
        <f t="shared" si="3"/>
        <v>February</v>
      </c>
      <c r="O47" s="8" t="str">
        <f t="shared" si="4"/>
        <v>Q1</v>
      </c>
      <c r="P47" s="8" t="str">
        <f t="shared" si="5"/>
        <v>2025</v>
      </c>
    </row>
    <row r="48" spans="1:16" x14ac:dyDescent="0.25">
      <c r="A48" s="9" t="s">
        <v>229</v>
      </c>
      <c r="B48" s="8" t="s">
        <v>11</v>
      </c>
      <c r="C48" s="8" t="s">
        <v>12</v>
      </c>
      <c r="D48" s="8" t="s">
        <v>13</v>
      </c>
      <c r="E48" s="8" t="s">
        <v>19</v>
      </c>
      <c r="F48" s="10">
        <v>18284</v>
      </c>
      <c r="G48" s="10">
        <v>8974.4</v>
      </c>
      <c r="H48" s="10">
        <v>3434.11</v>
      </c>
      <c r="I48" s="8">
        <v>65</v>
      </c>
      <c r="J48" s="11">
        <v>0.02</v>
      </c>
      <c r="K48" s="10">
        <f t="shared" si="0"/>
        <v>9309.6</v>
      </c>
      <c r="L48" s="10">
        <f t="shared" si="1"/>
        <v>5875.49</v>
      </c>
      <c r="M48" s="11">
        <f t="shared" si="2"/>
        <v>0.32134598556114635</v>
      </c>
      <c r="N48" s="8" t="str">
        <f t="shared" si="3"/>
        <v>February</v>
      </c>
      <c r="O48" s="8" t="str">
        <f t="shared" si="4"/>
        <v>Q1</v>
      </c>
      <c r="P48" s="8" t="str">
        <f t="shared" si="5"/>
        <v>2025</v>
      </c>
    </row>
    <row r="49" spans="1:16" x14ac:dyDescent="0.25">
      <c r="A49" s="9" t="s">
        <v>74</v>
      </c>
      <c r="B49" s="8" t="s">
        <v>11</v>
      </c>
      <c r="C49" s="8" t="s">
        <v>12</v>
      </c>
      <c r="D49" s="8" t="s">
        <v>18</v>
      </c>
      <c r="E49" s="8" t="s">
        <v>14</v>
      </c>
      <c r="F49" s="10">
        <v>23725</v>
      </c>
      <c r="G49" s="10">
        <v>12345.26</v>
      </c>
      <c r="H49" s="10">
        <v>3013.52</v>
      </c>
      <c r="I49" s="8">
        <v>467</v>
      </c>
      <c r="J49" s="11">
        <v>0.15</v>
      </c>
      <c r="K49" s="10">
        <f t="shared" si="0"/>
        <v>11379.74</v>
      </c>
      <c r="L49" s="10">
        <f t="shared" si="1"/>
        <v>8366.2199999999993</v>
      </c>
      <c r="M49" s="11">
        <f t="shared" si="2"/>
        <v>0.35263308746048472</v>
      </c>
      <c r="N49" s="8" t="str">
        <f t="shared" si="3"/>
        <v>February</v>
      </c>
      <c r="O49" s="8" t="str">
        <f t="shared" si="4"/>
        <v>Q1</v>
      </c>
      <c r="P49" s="8" t="str">
        <f t="shared" si="5"/>
        <v>2025</v>
      </c>
    </row>
    <row r="50" spans="1:16" x14ac:dyDescent="0.25">
      <c r="A50" s="9" t="s">
        <v>200</v>
      </c>
      <c r="B50" s="8" t="s">
        <v>24</v>
      </c>
      <c r="C50" s="8" t="s">
        <v>12</v>
      </c>
      <c r="D50" s="8" t="s">
        <v>27</v>
      </c>
      <c r="E50" s="8" t="s">
        <v>14</v>
      </c>
      <c r="F50" s="10">
        <v>29448</v>
      </c>
      <c r="G50" s="10">
        <v>21726.42</v>
      </c>
      <c r="H50" s="10">
        <v>4248.16</v>
      </c>
      <c r="I50" s="8">
        <v>134</v>
      </c>
      <c r="J50" s="11">
        <v>0.02</v>
      </c>
      <c r="K50" s="10">
        <f t="shared" si="0"/>
        <v>7721.5800000000017</v>
      </c>
      <c r="L50" s="10">
        <f t="shared" si="1"/>
        <v>3473.4200000000019</v>
      </c>
      <c r="M50" s="11">
        <f t="shared" si="2"/>
        <v>0.11795096441184467</v>
      </c>
      <c r="N50" s="8" t="str">
        <f t="shared" si="3"/>
        <v>February</v>
      </c>
      <c r="O50" s="8" t="str">
        <f t="shared" si="4"/>
        <v>Q1</v>
      </c>
      <c r="P50" s="8" t="str">
        <f t="shared" si="5"/>
        <v>2025</v>
      </c>
    </row>
    <row r="51" spans="1:16" x14ac:dyDescent="0.25">
      <c r="A51" s="9" t="s">
        <v>200</v>
      </c>
      <c r="B51" s="8" t="s">
        <v>16</v>
      </c>
      <c r="C51" s="8" t="s">
        <v>12</v>
      </c>
      <c r="D51" s="8" t="s">
        <v>22</v>
      </c>
      <c r="E51" s="8" t="s">
        <v>25</v>
      </c>
      <c r="F51" s="10">
        <v>37819</v>
      </c>
      <c r="G51" s="10">
        <v>25476.28</v>
      </c>
      <c r="H51" s="10">
        <v>4856.7299999999996</v>
      </c>
      <c r="I51" s="8">
        <v>60</v>
      </c>
      <c r="J51" s="11">
        <v>0.1</v>
      </c>
      <c r="K51" s="10">
        <f t="shared" si="0"/>
        <v>12342.720000000001</v>
      </c>
      <c r="L51" s="10">
        <f t="shared" si="1"/>
        <v>7485.9900000000016</v>
      </c>
      <c r="M51" s="11">
        <f t="shared" si="2"/>
        <v>0.19794256855019968</v>
      </c>
      <c r="N51" s="8" t="str">
        <f t="shared" si="3"/>
        <v>February</v>
      </c>
      <c r="O51" s="8" t="str">
        <f t="shared" si="4"/>
        <v>Q1</v>
      </c>
      <c r="P51" s="8" t="str">
        <f t="shared" si="5"/>
        <v>2025</v>
      </c>
    </row>
    <row r="52" spans="1:16" x14ac:dyDescent="0.25">
      <c r="A52" s="9" t="s">
        <v>96</v>
      </c>
      <c r="B52" s="8" t="s">
        <v>21</v>
      </c>
      <c r="C52" s="8" t="s">
        <v>17</v>
      </c>
      <c r="D52" s="8" t="s">
        <v>13</v>
      </c>
      <c r="E52" s="8" t="s">
        <v>19</v>
      </c>
      <c r="F52" s="10">
        <v>15292</v>
      </c>
      <c r="G52" s="10">
        <v>7981.81</v>
      </c>
      <c r="H52" s="10">
        <v>2405.11</v>
      </c>
      <c r="I52" s="8">
        <v>90</v>
      </c>
      <c r="J52" s="11">
        <v>0</v>
      </c>
      <c r="K52" s="10">
        <f t="shared" si="0"/>
        <v>7310.19</v>
      </c>
      <c r="L52" s="10">
        <f t="shared" si="1"/>
        <v>4905.08</v>
      </c>
      <c r="M52" s="11">
        <f t="shared" si="2"/>
        <v>0.32076118231755163</v>
      </c>
      <c r="N52" s="8" t="str">
        <f t="shared" si="3"/>
        <v>February</v>
      </c>
      <c r="O52" s="8" t="str">
        <f t="shared" si="4"/>
        <v>Q1</v>
      </c>
      <c r="P52" s="8" t="str">
        <f t="shared" si="5"/>
        <v>2025</v>
      </c>
    </row>
    <row r="53" spans="1:16" x14ac:dyDescent="0.25">
      <c r="A53" s="9" t="s">
        <v>96</v>
      </c>
      <c r="B53" s="8" t="s">
        <v>21</v>
      </c>
      <c r="C53" s="8" t="s">
        <v>12</v>
      </c>
      <c r="D53" s="8" t="s">
        <v>27</v>
      </c>
      <c r="E53" s="8" t="s">
        <v>14</v>
      </c>
      <c r="F53" s="10">
        <v>26532</v>
      </c>
      <c r="G53" s="10">
        <v>18723.7</v>
      </c>
      <c r="H53" s="10">
        <v>5314.57</v>
      </c>
      <c r="I53" s="8">
        <v>204</v>
      </c>
      <c r="J53" s="11">
        <v>0.05</v>
      </c>
      <c r="K53" s="10">
        <f t="shared" si="0"/>
        <v>7808.2999999999993</v>
      </c>
      <c r="L53" s="10">
        <f t="shared" si="1"/>
        <v>2493.7299999999996</v>
      </c>
      <c r="M53" s="11">
        <f t="shared" si="2"/>
        <v>9.3989522086536992E-2</v>
      </c>
      <c r="N53" s="8" t="str">
        <f t="shared" si="3"/>
        <v>February</v>
      </c>
      <c r="O53" s="8" t="str">
        <f t="shared" si="4"/>
        <v>Q1</v>
      </c>
      <c r="P53" s="8" t="str">
        <f t="shared" si="5"/>
        <v>2025</v>
      </c>
    </row>
    <row r="54" spans="1:16" x14ac:dyDescent="0.25">
      <c r="A54" s="9" t="s">
        <v>96</v>
      </c>
      <c r="B54" s="8" t="s">
        <v>21</v>
      </c>
      <c r="C54" s="8" t="s">
        <v>17</v>
      </c>
      <c r="D54" s="8" t="s">
        <v>18</v>
      </c>
      <c r="E54" s="8" t="s">
        <v>25</v>
      </c>
      <c r="F54" s="10">
        <v>22832</v>
      </c>
      <c r="G54" s="10">
        <v>13309.55</v>
      </c>
      <c r="H54" s="10">
        <v>3181.91</v>
      </c>
      <c r="I54" s="8">
        <v>320</v>
      </c>
      <c r="J54" s="11">
        <v>0.1</v>
      </c>
      <c r="K54" s="10">
        <f t="shared" si="0"/>
        <v>9522.4500000000007</v>
      </c>
      <c r="L54" s="10">
        <f t="shared" si="1"/>
        <v>6340.5400000000009</v>
      </c>
      <c r="M54" s="11">
        <f t="shared" si="2"/>
        <v>0.27770409950946046</v>
      </c>
      <c r="N54" s="8" t="str">
        <f t="shared" si="3"/>
        <v>February</v>
      </c>
      <c r="O54" s="8" t="str">
        <f t="shared" si="4"/>
        <v>Q1</v>
      </c>
      <c r="P54" s="8" t="str">
        <f t="shared" si="5"/>
        <v>2025</v>
      </c>
    </row>
    <row r="55" spans="1:16" x14ac:dyDescent="0.25">
      <c r="A55" s="9" t="s">
        <v>149</v>
      </c>
      <c r="B55" s="8" t="s">
        <v>11</v>
      </c>
      <c r="C55" s="8" t="s">
        <v>12</v>
      </c>
      <c r="D55" s="8" t="s">
        <v>13</v>
      </c>
      <c r="E55" s="8" t="s">
        <v>19</v>
      </c>
      <c r="F55" s="10">
        <v>15506</v>
      </c>
      <c r="G55" s="10">
        <v>8246.67</v>
      </c>
      <c r="H55" s="10">
        <v>3205.75</v>
      </c>
      <c r="I55" s="8">
        <v>85</v>
      </c>
      <c r="J55" s="11">
        <v>0.1</v>
      </c>
      <c r="K55" s="10">
        <f t="shared" si="0"/>
        <v>7259.33</v>
      </c>
      <c r="L55" s="10">
        <f t="shared" si="1"/>
        <v>4053.58</v>
      </c>
      <c r="M55" s="11">
        <f t="shared" si="2"/>
        <v>0.26142009544692374</v>
      </c>
      <c r="N55" s="8" t="str">
        <f t="shared" si="3"/>
        <v>February</v>
      </c>
      <c r="O55" s="8" t="str">
        <f t="shared" si="4"/>
        <v>Q1</v>
      </c>
      <c r="P55" s="8" t="str">
        <f t="shared" si="5"/>
        <v>2025</v>
      </c>
    </row>
    <row r="56" spans="1:16" x14ac:dyDescent="0.25">
      <c r="A56" s="9" t="s">
        <v>149</v>
      </c>
      <c r="B56" s="8" t="s">
        <v>24</v>
      </c>
      <c r="C56" s="8" t="s">
        <v>12</v>
      </c>
      <c r="D56" s="8" t="s">
        <v>22</v>
      </c>
      <c r="E56" s="8" t="s">
        <v>14</v>
      </c>
      <c r="F56" s="10">
        <v>42053</v>
      </c>
      <c r="G56" s="10">
        <v>19313.189999999999</v>
      </c>
      <c r="H56" s="10">
        <v>7844.9</v>
      </c>
      <c r="I56" s="8">
        <v>159</v>
      </c>
      <c r="J56" s="11">
        <v>0</v>
      </c>
      <c r="K56" s="10">
        <f t="shared" si="0"/>
        <v>22739.81</v>
      </c>
      <c r="L56" s="10">
        <f t="shared" si="1"/>
        <v>14894.910000000002</v>
      </c>
      <c r="M56" s="11">
        <f t="shared" si="2"/>
        <v>0.35419375549901316</v>
      </c>
      <c r="N56" s="8" t="str">
        <f t="shared" si="3"/>
        <v>February</v>
      </c>
      <c r="O56" s="8" t="str">
        <f t="shared" si="4"/>
        <v>Q1</v>
      </c>
      <c r="P56" s="8" t="str">
        <f t="shared" si="5"/>
        <v>2025</v>
      </c>
    </row>
    <row r="57" spans="1:16" x14ac:dyDescent="0.25">
      <c r="A57" s="9" t="s">
        <v>208</v>
      </c>
      <c r="B57" s="8" t="s">
        <v>24</v>
      </c>
      <c r="C57" s="8" t="s">
        <v>17</v>
      </c>
      <c r="D57" s="8" t="s">
        <v>18</v>
      </c>
      <c r="E57" s="8" t="s">
        <v>25</v>
      </c>
      <c r="F57" s="10">
        <v>12606</v>
      </c>
      <c r="G57" s="10">
        <v>8816.58</v>
      </c>
      <c r="H57" s="10">
        <v>2297.08</v>
      </c>
      <c r="I57" s="8">
        <v>188</v>
      </c>
      <c r="J57" s="11">
        <v>0.05</v>
      </c>
      <c r="K57" s="10">
        <f t="shared" si="0"/>
        <v>3789.42</v>
      </c>
      <c r="L57" s="10">
        <f t="shared" si="1"/>
        <v>1492.3400000000001</v>
      </c>
      <c r="M57" s="11">
        <f t="shared" si="2"/>
        <v>0.11838330953514201</v>
      </c>
      <c r="N57" s="8" t="str">
        <f t="shared" si="3"/>
        <v>February</v>
      </c>
      <c r="O57" s="8" t="str">
        <f t="shared" si="4"/>
        <v>Q1</v>
      </c>
      <c r="P57" s="8" t="str">
        <f t="shared" si="5"/>
        <v>2025</v>
      </c>
    </row>
    <row r="58" spans="1:16" x14ac:dyDescent="0.25">
      <c r="A58" s="9" t="s">
        <v>208</v>
      </c>
      <c r="B58" s="8" t="s">
        <v>11</v>
      </c>
      <c r="C58" s="8" t="s">
        <v>17</v>
      </c>
      <c r="D58" s="8" t="s">
        <v>18</v>
      </c>
      <c r="E58" s="8" t="s">
        <v>25</v>
      </c>
      <c r="F58" s="10">
        <v>21263</v>
      </c>
      <c r="G58" s="10">
        <v>13098.41</v>
      </c>
      <c r="H58" s="10">
        <v>3487.16</v>
      </c>
      <c r="I58" s="8">
        <v>321</v>
      </c>
      <c r="J58" s="11">
        <v>0.05</v>
      </c>
      <c r="K58" s="10">
        <f t="shared" si="0"/>
        <v>8164.59</v>
      </c>
      <c r="L58" s="10">
        <f t="shared" si="1"/>
        <v>4677.43</v>
      </c>
      <c r="M58" s="11">
        <f t="shared" si="2"/>
        <v>0.21997977707755256</v>
      </c>
      <c r="N58" s="8" t="str">
        <f t="shared" si="3"/>
        <v>February</v>
      </c>
      <c r="O58" s="8" t="str">
        <f t="shared" si="4"/>
        <v>Q1</v>
      </c>
      <c r="P58" s="8" t="str">
        <f t="shared" si="5"/>
        <v>2025</v>
      </c>
    </row>
    <row r="59" spans="1:16" x14ac:dyDescent="0.25">
      <c r="A59" s="9" t="s">
        <v>242</v>
      </c>
      <c r="B59" s="8" t="s">
        <v>11</v>
      </c>
      <c r="C59" s="8" t="s">
        <v>12</v>
      </c>
      <c r="D59" s="8" t="s">
        <v>18</v>
      </c>
      <c r="E59" s="8" t="s">
        <v>14</v>
      </c>
      <c r="F59" s="10">
        <v>24303</v>
      </c>
      <c r="G59" s="10">
        <v>16943.3</v>
      </c>
      <c r="H59" s="10">
        <v>4071.06</v>
      </c>
      <c r="I59" s="8">
        <v>255</v>
      </c>
      <c r="J59" s="11">
        <v>0.02</v>
      </c>
      <c r="K59" s="10">
        <f t="shared" si="0"/>
        <v>7359.7000000000007</v>
      </c>
      <c r="L59" s="10">
        <f t="shared" si="1"/>
        <v>3288.6400000000008</v>
      </c>
      <c r="M59" s="11">
        <f t="shared" si="2"/>
        <v>0.1353182734641814</v>
      </c>
      <c r="N59" s="8" t="str">
        <f t="shared" si="3"/>
        <v>February</v>
      </c>
      <c r="O59" s="8" t="str">
        <f t="shared" si="4"/>
        <v>Q1</v>
      </c>
      <c r="P59" s="8" t="str">
        <f t="shared" si="5"/>
        <v>2025</v>
      </c>
    </row>
    <row r="60" spans="1:16" x14ac:dyDescent="0.25">
      <c r="A60" s="9" t="s">
        <v>242</v>
      </c>
      <c r="B60" s="8" t="s">
        <v>16</v>
      </c>
      <c r="C60" s="8" t="s">
        <v>12</v>
      </c>
      <c r="D60" s="8" t="s">
        <v>27</v>
      </c>
      <c r="E60" s="8" t="s">
        <v>14</v>
      </c>
      <c r="F60" s="10">
        <v>23083</v>
      </c>
      <c r="G60" s="10">
        <v>15786.51</v>
      </c>
      <c r="H60" s="10">
        <v>2987.81</v>
      </c>
      <c r="I60" s="8">
        <v>212</v>
      </c>
      <c r="J60" s="11">
        <v>0.1</v>
      </c>
      <c r="K60" s="10">
        <f t="shared" si="0"/>
        <v>7296.49</v>
      </c>
      <c r="L60" s="10">
        <f t="shared" si="1"/>
        <v>4308.68</v>
      </c>
      <c r="M60" s="11">
        <f t="shared" si="2"/>
        <v>0.18666031278430015</v>
      </c>
      <c r="N60" s="8" t="str">
        <f t="shared" si="3"/>
        <v>February</v>
      </c>
      <c r="O60" s="8" t="str">
        <f t="shared" si="4"/>
        <v>Q1</v>
      </c>
      <c r="P60" s="8" t="str">
        <f t="shared" si="5"/>
        <v>2025</v>
      </c>
    </row>
    <row r="61" spans="1:16" x14ac:dyDescent="0.25">
      <c r="A61" s="9" t="s">
        <v>172</v>
      </c>
      <c r="B61" s="8" t="s">
        <v>24</v>
      </c>
      <c r="C61" s="8" t="s">
        <v>12</v>
      </c>
      <c r="D61" s="8" t="s">
        <v>27</v>
      </c>
      <c r="E61" s="8" t="s">
        <v>19</v>
      </c>
      <c r="F61" s="10">
        <v>30771</v>
      </c>
      <c r="G61" s="10">
        <v>18512.86</v>
      </c>
      <c r="H61" s="10">
        <v>6626.11</v>
      </c>
      <c r="I61" s="8">
        <v>120</v>
      </c>
      <c r="J61" s="11">
        <v>0.15</v>
      </c>
      <c r="K61" s="10">
        <f t="shared" si="0"/>
        <v>12258.14</v>
      </c>
      <c r="L61" s="10">
        <f t="shared" si="1"/>
        <v>5632.03</v>
      </c>
      <c r="M61" s="11">
        <f t="shared" si="2"/>
        <v>0.18303045074908192</v>
      </c>
      <c r="N61" s="8" t="str">
        <f t="shared" si="3"/>
        <v>February</v>
      </c>
      <c r="O61" s="8" t="str">
        <f t="shared" si="4"/>
        <v>Q1</v>
      </c>
      <c r="P61" s="8" t="str">
        <f t="shared" si="5"/>
        <v>2025</v>
      </c>
    </row>
    <row r="62" spans="1:16" x14ac:dyDescent="0.25">
      <c r="A62" s="9" t="s">
        <v>172</v>
      </c>
      <c r="B62" s="8" t="s">
        <v>11</v>
      </c>
      <c r="C62" s="8" t="s">
        <v>12</v>
      </c>
      <c r="D62" s="8" t="s">
        <v>27</v>
      </c>
      <c r="E62" s="8" t="s">
        <v>14</v>
      </c>
      <c r="F62" s="10">
        <v>5340</v>
      </c>
      <c r="G62" s="10">
        <v>3913.62</v>
      </c>
      <c r="H62" s="10">
        <v>759.68</v>
      </c>
      <c r="I62" s="8">
        <v>399</v>
      </c>
      <c r="J62" s="11">
        <v>0.05</v>
      </c>
      <c r="K62" s="10">
        <f t="shared" si="0"/>
        <v>1426.38</v>
      </c>
      <c r="L62" s="10">
        <f t="shared" si="1"/>
        <v>666.70000000000016</v>
      </c>
      <c r="M62" s="11">
        <f t="shared" si="2"/>
        <v>0.12485018726591764</v>
      </c>
      <c r="N62" s="8" t="str">
        <f t="shared" si="3"/>
        <v>February</v>
      </c>
      <c r="O62" s="8" t="str">
        <f t="shared" si="4"/>
        <v>Q1</v>
      </c>
      <c r="P62" s="8" t="str">
        <f t="shared" si="5"/>
        <v>2025</v>
      </c>
    </row>
    <row r="63" spans="1:16" x14ac:dyDescent="0.25">
      <c r="A63" s="9" t="s">
        <v>172</v>
      </c>
      <c r="B63" s="8" t="s">
        <v>24</v>
      </c>
      <c r="C63" s="8" t="s">
        <v>12</v>
      </c>
      <c r="D63" s="8" t="s">
        <v>27</v>
      </c>
      <c r="E63" s="8" t="s">
        <v>19</v>
      </c>
      <c r="F63" s="10">
        <v>21267</v>
      </c>
      <c r="G63" s="10">
        <v>15748.64</v>
      </c>
      <c r="H63" s="10">
        <v>2881.13</v>
      </c>
      <c r="I63" s="8">
        <v>35</v>
      </c>
      <c r="J63" s="11">
        <v>0.05</v>
      </c>
      <c r="K63" s="10">
        <f t="shared" si="0"/>
        <v>5518.3600000000006</v>
      </c>
      <c r="L63" s="10">
        <f t="shared" si="1"/>
        <v>2637.2300000000005</v>
      </c>
      <c r="M63" s="11">
        <f t="shared" si="2"/>
        <v>0.12400573658720085</v>
      </c>
      <c r="N63" s="8" t="str">
        <f t="shared" si="3"/>
        <v>February</v>
      </c>
      <c r="O63" s="8" t="str">
        <f t="shared" si="4"/>
        <v>Q1</v>
      </c>
      <c r="P63" s="8" t="str">
        <f t="shared" si="5"/>
        <v>2025</v>
      </c>
    </row>
    <row r="64" spans="1:16" x14ac:dyDescent="0.25">
      <c r="A64" s="9" t="s">
        <v>130</v>
      </c>
      <c r="B64" s="8" t="s">
        <v>24</v>
      </c>
      <c r="C64" s="8" t="s">
        <v>12</v>
      </c>
      <c r="D64" s="8" t="s">
        <v>13</v>
      </c>
      <c r="E64" s="8" t="s">
        <v>19</v>
      </c>
      <c r="F64" s="10">
        <v>29421</v>
      </c>
      <c r="G64" s="10">
        <v>20404.37</v>
      </c>
      <c r="H64" s="10">
        <v>4645.34</v>
      </c>
      <c r="I64" s="8">
        <v>310</v>
      </c>
      <c r="J64" s="11">
        <v>0.15</v>
      </c>
      <c r="K64" s="10">
        <f t="shared" si="0"/>
        <v>9016.630000000001</v>
      </c>
      <c r="L64" s="10">
        <f t="shared" si="1"/>
        <v>4371.2900000000009</v>
      </c>
      <c r="M64" s="11">
        <f t="shared" si="2"/>
        <v>0.14857720675707831</v>
      </c>
      <c r="N64" s="8" t="str">
        <f t="shared" si="3"/>
        <v>February</v>
      </c>
      <c r="O64" s="8" t="str">
        <f t="shared" si="4"/>
        <v>Q1</v>
      </c>
      <c r="P64" s="8" t="str">
        <f t="shared" si="5"/>
        <v>2025</v>
      </c>
    </row>
    <row r="65" spans="1:16" x14ac:dyDescent="0.25">
      <c r="A65" s="9" t="s">
        <v>130</v>
      </c>
      <c r="B65" s="8" t="s">
        <v>11</v>
      </c>
      <c r="C65" s="8" t="s">
        <v>17</v>
      </c>
      <c r="D65" s="8" t="s">
        <v>27</v>
      </c>
      <c r="E65" s="8" t="s">
        <v>19</v>
      </c>
      <c r="F65" s="10">
        <v>8252</v>
      </c>
      <c r="G65" s="10">
        <v>4686.07</v>
      </c>
      <c r="H65" s="10">
        <v>1295.17</v>
      </c>
      <c r="I65" s="8">
        <v>261</v>
      </c>
      <c r="J65" s="11">
        <v>0.02</v>
      </c>
      <c r="K65" s="10">
        <f t="shared" si="0"/>
        <v>3565.9300000000003</v>
      </c>
      <c r="L65" s="10">
        <f t="shared" si="1"/>
        <v>2270.7600000000002</v>
      </c>
      <c r="M65" s="11">
        <f t="shared" si="2"/>
        <v>0.27517692680562289</v>
      </c>
      <c r="N65" s="8" t="str">
        <f t="shared" si="3"/>
        <v>February</v>
      </c>
      <c r="O65" s="8" t="str">
        <f t="shared" si="4"/>
        <v>Q1</v>
      </c>
      <c r="P65" s="8" t="str">
        <f t="shared" si="5"/>
        <v>2025</v>
      </c>
    </row>
    <row r="66" spans="1:16" x14ac:dyDescent="0.25">
      <c r="A66" s="9" t="s">
        <v>130</v>
      </c>
      <c r="B66" s="8" t="s">
        <v>24</v>
      </c>
      <c r="C66" s="8" t="s">
        <v>12</v>
      </c>
      <c r="D66" s="8" t="s">
        <v>27</v>
      </c>
      <c r="E66" s="8" t="s">
        <v>14</v>
      </c>
      <c r="F66" s="10">
        <v>48182</v>
      </c>
      <c r="G66" s="10">
        <v>24887.17</v>
      </c>
      <c r="H66" s="10">
        <v>6157.18</v>
      </c>
      <c r="I66" s="8">
        <v>434</v>
      </c>
      <c r="J66" s="11">
        <v>0.05</v>
      </c>
      <c r="K66" s="10">
        <f t="shared" si="0"/>
        <v>23294.83</v>
      </c>
      <c r="L66" s="10">
        <f t="shared" si="1"/>
        <v>17137.650000000001</v>
      </c>
      <c r="M66" s="11">
        <f t="shared" si="2"/>
        <v>0.35568573326138397</v>
      </c>
      <c r="N66" s="8" t="str">
        <f t="shared" si="3"/>
        <v>February</v>
      </c>
      <c r="O66" s="8" t="str">
        <f t="shared" si="4"/>
        <v>Q1</v>
      </c>
      <c r="P66" s="8" t="str">
        <f t="shared" si="5"/>
        <v>2025</v>
      </c>
    </row>
    <row r="67" spans="1:16" x14ac:dyDescent="0.25">
      <c r="A67" s="9" t="s">
        <v>123</v>
      </c>
      <c r="B67" s="8" t="s">
        <v>24</v>
      </c>
      <c r="C67" s="8" t="s">
        <v>12</v>
      </c>
      <c r="D67" s="8" t="s">
        <v>13</v>
      </c>
      <c r="E67" s="8" t="s">
        <v>19</v>
      </c>
      <c r="F67" s="10">
        <v>37069</v>
      </c>
      <c r="G67" s="10">
        <v>23527.53</v>
      </c>
      <c r="H67" s="10">
        <v>7838.89</v>
      </c>
      <c r="I67" s="8">
        <v>153</v>
      </c>
      <c r="J67" s="11">
        <v>0</v>
      </c>
      <c r="K67" s="10">
        <f t="shared" ref="K67:K130" si="6">F67-G67</f>
        <v>13541.470000000001</v>
      </c>
      <c r="L67" s="10">
        <f t="shared" ref="L67:L130" si="7">F67-G67-H67</f>
        <v>5702.5800000000008</v>
      </c>
      <c r="M67" s="11">
        <f t="shared" ref="M67:M130" si="8">L67/F67</f>
        <v>0.15383689875637327</v>
      </c>
      <c r="N67" s="8" t="str">
        <f t="shared" ref="N67:N130" si="9">TEXT(A67,"MMMM")</f>
        <v>February</v>
      </c>
      <c r="O67" s="8" t="str">
        <f t="shared" ref="O67:O130" si="10">"Q"&amp;ROUNDUP(MONTH(A67)/3,0)</f>
        <v>Q1</v>
      </c>
      <c r="P67" s="8" t="str">
        <f t="shared" ref="P67:P130" si="11">TEXT(A67,"YYYY")</f>
        <v>2025</v>
      </c>
    </row>
    <row r="68" spans="1:16" x14ac:dyDescent="0.25">
      <c r="A68" s="9" t="s">
        <v>123</v>
      </c>
      <c r="B68" s="8" t="s">
        <v>16</v>
      </c>
      <c r="C68" s="8" t="s">
        <v>17</v>
      </c>
      <c r="D68" s="8" t="s">
        <v>22</v>
      </c>
      <c r="E68" s="8" t="s">
        <v>19</v>
      </c>
      <c r="F68" s="10">
        <v>21956</v>
      </c>
      <c r="G68" s="10">
        <v>11342.48</v>
      </c>
      <c r="H68" s="10">
        <v>4052.19</v>
      </c>
      <c r="I68" s="8">
        <v>295</v>
      </c>
      <c r="J68" s="11">
        <v>0.15</v>
      </c>
      <c r="K68" s="10">
        <f t="shared" si="6"/>
        <v>10613.52</v>
      </c>
      <c r="L68" s="10">
        <f t="shared" si="7"/>
        <v>6561.33</v>
      </c>
      <c r="M68" s="11">
        <f t="shared" si="8"/>
        <v>0.29883995263253782</v>
      </c>
      <c r="N68" s="8" t="str">
        <f t="shared" si="9"/>
        <v>February</v>
      </c>
      <c r="O68" s="8" t="str">
        <f t="shared" si="10"/>
        <v>Q1</v>
      </c>
      <c r="P68" s="8" t="str">
        <f t="shared" si="11"/>
        <v>2025</v>
      </c>
    </row>
    <row r="69" spans="1:16" x14ac:dyDescent="0.25">
      <c r="A69" s="9" t="s">
        <v>123</v>
      </c>
      <c r="B69" s="8" t="s">
        <v>16</v>
      </c>
      <c r="C69" s="8" t="s">
        <v>12</v>
      </c>
      <c r="D69" s="8" t="s">
        <v>27</v>
      </c>
      <c r="E69" s="8" t="s">
        <v>19</v>
      </c>
      <c r="F69" s="10">
        <v>17937</v>
      </c>
      <c r="G69" s="10">
        <v>11976.12</v>
      </c>
      <c r="H69" s="10">
        <v>2658.38</v>
      </c>
      <c r="I69" s="8">
        <v>179</v>
      </c>
      <c r="J69" s="11">
        <v>0.05</v>
      </c>
      <c r="K69" s="10">
        <f t="shared" si="6"/>
        <v>5960.8799999999992</v>
      </c>
      <c r="L69" s="10">
        <f t="shared" si="7"/>
        <v>3302.4999999999991</v>
      </c>
      <c r="M69" s="11">
        <f t="shared" si="8"/>
        <v>0.1841166304287227</v>
      </c>
      <c r="N69" s="8" t="str">
        <f t="shared" si="9"/>
        <v>February</v>
      </c>
      <c r="O69" s="8" t="str">
        <f t="shared" si="10"/>
        <v>Q1</v>
      </c>
      <c r="P69" s="8" t="str">
        <f t="shared" si="11"/>
        <v>2025</v>
      </c>
    </row>
    <row r="70" spans="1:16" x14ac:dyDescent="0.25">
      <c r="A70" s="9" t="s">
        <v>145</v>
      </c>
      <c r="B70" s="8" t="s">
        <v>11</v>
      </c>
      <c r="C70" s="8" t="s">
        <v>17</v>
      </c>
      <c r="D70" s="8" t="s">
        <v>18</v>
      </c>
      <c r="E70" s="8" t="s">
        <v>25</v>
      </c>
      <c r="F70" s="10">
        <v>38271</v>
      </c>
      <c r="G70" s="10">
        <v>26072.59</v>
      </c>
      <c r="H70" s="10">
        <v>7536.2</v>
      </c>
      <c r="I70" s="8">
        <v>462</v>
      </c>
      <c r="J70" s="11">
        <v>0.15</v>
      </c>
      <c r="K70" s="10">
        <f t="shared" si="6"/>
        <v>12198.41</v>
      </c>
      <c r="L70" s="10">
        <f t="shared" si="7"/>
        <v>4662.21</v>
      </c>
      <c r="M70" s="11">
        <f t="shared" si="8"/>
        <v>0.1218209610409971</v>
      </c>
      <c r="N70" s="8" t="str">
        <f t="shared" si="9"/>
        <v>February</v>
      </c>
      <c r="O70" s="8" t="str">
        <f t="shared" si="10"/>
        <v>Q1</v>
      </c>
      <c r="P70" s="8" t="str">
        <f t="shared" si="11"/>
        <v>2025</v>
      </c>
    </row>
    <row r="71" spans="1:16" x14ac:dyDescent="0.25">
      <c r="A71" s="9" t="s">
        <v>145</v>
      </c>
      <c r="B71" s="8" t="s">
        <v>21</v>
      </c>
      <c r="C71" s="8" t="s">
        <v>12</v>
      </c>
      <c r="D71" s="8" t="s">
        <v>27</v>
      </c>
      <c r="E71" s="8" t="s">
        <v>14</v>
      </c>
      <c r="F71" s="10">
        <v>21770</v>
      </c>
      <c r="G71" s="10">
        <v>14004.66</v>
      </c>
      <c r="H71" s="10">
        <v>3133.69</v>
      </c>
      <c r="I71" s="8">
        <v>161</v>
      </c>
      <c r="J71" s="11">
        <v>0.05</v>
      </c>
      <c r="K71" s="10">
        <f t="shared" si="6"/>
        <v>7765.34</v>
      </c>
      <c r="L71" s="10">
        <f t="shared" si="7"/>
        <v>4631.6499999999996</v>
      </c>
      <c r="M71" s="11">
        <f t="shared" si="8"/>
        <v>0.21275378961874136</v>
      </c>
      <c r="N71" s="8" t="str">
        <f t="shared" si="9"/>
        <v>February</v>
      </c>
      <c r="O71" s="8" t="str">
        <f t="shared" si="10"/>
        <v>Q1</v>
      </c>
      <c r="P71" s="8" t="str">
        <f t="shared" si="11"/>
        <v>2025</v>
      </c>
    </row>
    <row r="72" spans="1:16" x14ac:dyDescent="0.25">
      <c r="A72" s="9" t="s">
        <v>58</v>
      </c>
      <c r="B72" s="8" t="s">
        <v>16</v>
      </c>
      <c r="C72" s="8" t="s">
        <v>12</v>
      </c>
      <c r="D72" s="8" t="s">
        <v>18</v>
      </c>
      <c r="E72" s="8" t="s">
        <v>14</v>
      </c>
      <c r="F72" s="10">
        <v>28178</v>
      </c>
      <c r="G72" s="10">
        <v>19274.73</v>
      </c>
      <c r="H72" s="10">
        <v>5742.08</v>
      </c>
      <c r="I72" s="8">
        <v>218</v>
      </c>
      <c r="J72" s="11">
        <v>0.15</v>
      </c>
      <c r="K72" s="10">
        <f t="shared" si="6"/>
        <v>8903.27</v>
      </c>
      <c r="L72" s="10">
        <f t="shared" si="7"/>
        <v>3161.1900000000005</v>
      </c>
      <c r="M72" s="11">
        <f t="shared" si="8"/>
        <v>0.11218645752005112</v>
      </c>
      <c r="N72" s="8" t="str">
        <f t="shared" si="9"/>
        <v>February</v>
      </c>
      <c r="O72" s="8" t="str">
        <f t="shared" si="10"/>
        <v>Q1</v>
      </c>
      <c r="P72" s="8" t="str">
        <f t="shared" si="11"/>
        <v>2025</v>
      </c>
    </row>
    <row r="73" spans="1:16" x14ac:dyDescent="0.25">
      <c r="A73" s="9" t="s">
        <v>58</v>
      </c>
      <c r="B73" s="8" t="s">
        <v>16</v>
      </c>
      <c r="C73" s="8" t="s">
        <v>17</v>
      </c>
      <c r="D73" s="8" t="s">
        <v>13</v>
      </c>
      <c r="E73" s="8" t="s">
        <v>25</v>
      </c>
      <c r="F73" s="10">
        <v>14597</v>
      </c>
      <c r="G73" s="10">
        <v>7689.56</v>
      </c>
      <c r="H73" s="10">
        <v>1522.32</v>
      </c>
      <c r="I73" s="8">
        <v>88</v>
      </c>
      <c r="J73" s="11">
        <v>0</v>
      </c>
      <c r="K73" s="10">
        <f t="shared" si="6"/>
        <v>6907.44</v>
      </c>
      <c r="L73" s="10">
        <f t="shared" si="7"/>
        <v>5385.12</v>
      </c>
      <c r="M73" s="11">
        <f t="shared" si="8"/>
        <v>0.36891964102212782</v>
      </c>
      <c r="N73" s="8" t="str">
        <f t="shared" si="9"/>
        <v>February</v>
      </c>
      <c r="O73" s="8" t="str">
        <f t="shared" si="10"/>
        <v>Q1</v>
      </c>
      <c r="P73" s="8" t="str">
        <f t="shared" si="11"/>
        <v>2025</v>
      </c>
    </row>
    <row r="74" spans="1:16" x14ac:dyDescent="0.25">
      <c r="A74" s="9" t="s">
        <v>58</v>
      </c>
      <c r="B74" s="8" t="s">
        <v>24</v>
      </c>
      <c r="C74" s="8" t="s">
        <v>17</v>
      </c>
      <c r="D74" s="8" t="s">
        <v>22</v>
      </c>
      <c r="E74" s="8" t="s">
        <v>25</v>
      </c>
      <c r="F74" s="10">
        <v>40185</v>
      </c>
      <c r="G74" s="10">
        <v>20337.14</v>
      </c>
      <c r="H74" s="10">
        <v>5048.76</v>
      </c>
      <c r="I74" s="8">
        <v>244</v>
      </c>
      <c r="J74" s="11">
        <v>0</v>
      </c>
      <c r="K74" s="10">
        <f t="shared" si="6"/>
        <v>19847.86</v>
      </c>
      <c r="L74" s="10">
        <f t="shared" si="7"/>
        <v>14799.1</v>
      </c>
      <c r="M74" s="11">
        <f t="shared" si="8"/>
        <v>0.368274231678487</v>
      </c>
      <c r="N74" s="8" t="str">
        <f t="shared" si="9"/>
        <v>February</v>
      </c>
      <c r="O74" s="8" t="str">
        <f t="shared" si="10"/>
        <v>Q1</v>
      </c>
      <c r="P74" s="8" t="str">
        <f t="shared" si="11"/>
        <v>2025</v>
      </c>
    </row>
    <row r="75" spans="1:16" x14ac:dyDescent="0.25">
      <c r="A75" s="9" t="s">
        <v>53</v>
      </c>
      <c r="B75" s="8" t="s">
        <v>16</v>
      </c>
      <c r="C75" s="8" t="s">
        <v>17</v>
      </c>
      <c r="D75" s="8" t="s">
        <v>22</v>
      </c>
      <c r="E75" s="8" t="s">
        <v>25</v>
      </c>
      <c r="F75" s="10">
        <v>13800</v>
      </c>
      <c r="G75" s="10">
        <v>7304.89</v>
      </c>
      <c r="H75" s="10">
        <v>2822.92</v>
      </c>
      <c r="I75" s="8">
        <v>390</v>
      </c>
      <c r="J75" s="11">
        <v>0.15</v>
      </c>
      <c r="K75" s="10">
        <f t="shared" si="6"/>
        <v>6495.11</v>
      </c>
      <c r="L75" s="10">
        <f t="shared" si="7"/>
        <v>3672.1899999999996</v>
      </c>
      <c r="M75" s="11">
        <f t="shared" si="8"/>
        <v>0.26610072463768114</v>
      </c>
      <c r="N75" s="8" t="str">
        <f t="shared" si="9"/>
        <v>February</v>
      </c>
      <c r="O75" s="8" t="str">
        <f t="shared" si="10"/>
        <v>Q1</v>
      </c>
      <c r="P75" s="8" t="str">
        <f t="shared" si="11"/>
        <v>2025</v>
      </c>
    </row>
    <row r="76" spans="1:16" x14ac:dyDescent="0.25">
      <c r="A76" s="9" t="s">
        <v>53</v>
      </c>
      <c r="B76" s="8" t="s">
        <v>11</v>
      </c>
      <c r="C76" s="8" t="s">
        <v>17</v>
      </c>
      <c r="D76" s="8" t="s">
        <v>13</v>
      </c>
      <c r="E76" s="8" t="s">
        <v>25</v>
      </c>
      <c r="F76" s="10">
        <v>9862</v>
      </c>
      <c r="G76" s="10">
        <v>5449.17</v>
      </c>
      <c r="H76" s="10">
        <v>2014.91</v>
      </c>
      <c r="I76" s="8">
        <v>92</v>
      </c>
      <c r="J76" s="11">
        <v>0</v>
      </c>
      <c r="K76" s="10">
        <f t="shared" si="6"/>
        <v>4412.83</v>
      </c>
      <c r="L76" s="10">
        <f t="shared" si="7"/>
        <v>2397.92</v>
      </c>
      <c r="M76" s="11">
        <f t="shared" si="8"/>
        <v>0.24314743459744476</v>
      </c>
      <c r="N76" s="8" t="str">
        <f t="shared" si="9"/>
        <v>February</v>
      </c>
      <c r="O76" s="8" t="str">
        <f t="shared" si="10"/>
        <v>Q1</v>
      </c>
      <c r="P76" s="8" t="str">
        <f t="shared" si="11"/>
        <v>2025</v>
      </c>
    </row>
    <row r="77" spans="1:16" x14ac:dyDescent="0.25">
      <c r="A77" s="9" t="s">
        <v>114</v>
      </c>
      <c r="B77" s="8" t="s">
        <v>11</v>
      </c>
      <c r="C77" s="8" t="s">
        <v>17</v>
      </c>
      <c r="D77" s="8" t="s">
        <v>22</v>
      </c>
      <c r="E77" s="8" t="s">
        <v>14</v>
      </c>
      <c r="F77" s="10">
        <v>20545</v>
      </c>
      <c r="G77" s="10">
        <v>11595.79</v>
      </c>
      <c r="H77" s="10">
        <v>2676.07</v>
      </c>
      <c r="I77" s="8">
        <v>161</v>
      </c>
      <c r="J77" s="11">
        <v>0.05</v>
      </c>
      <c r="K77" s="10">
        <f t="shared" si="6"/>
        <v>8949.2099999999991</v>
      </c>
      <c r="L77" s="10">
        <f t="shared" si="7"/>
        <v>6273.1399999999994</v>
      </c>
      <c r="M77" s="11">
        <f t="shared" si="8"/>
        <v>0.30533657824288146</v>
      </c>
      <c r="N77" s="8" t="str">
        <f t="shared" si="9"/>
        <v>February</v>
      </c>
      <c r="O77" s="8" t="str">
        <f t="shared" si="10"/>
        <v>Q1</v>
      </c>
      <c r="P77" s="8" t="str">
        <f t="shared" si="11"/>
        <v>2025</v>
      </c>
    </row>
    <row r="78" spans="1:16" x14ac:dyDescent="0.25">
      <c r="A78" s="9" t="s">
        <v>114</v>
      </c>
      <c r="B78" s="8" t="s">
        <v>24</v>
      </c>
      <c r="C78" s="8" t="s">
        <v>17</v>
      </c>
      <c r="D78" s="8" t="s">
        <v>18</v>
      </c>
      <c r="E78" s="8" t="s">
        <v>19</v>
      </c>
      <c r="F78" s="10">
        <v>20945</v>
      </c>
      <c r="G78" s="10">
        <v>12162.82</v>
      </c>
      <c r="H78" s="10">
        <v>2849.84</v>
      </c>
      <c r="I78" s="8">
        <v>50</v>
      </c>
      <c r="J78" s="11">
        <v>0.1</v>
      </c>
      <c r="K78" s="10">
        <f t="shared" si="6"/>
        <v>8782.18</v>
      </c>
      <c r="L78" s="10">
        <f t="shared" si="7"/>
        <v>5932.34</v>
      </c>
      <c r="M78" s="11">
        <f t="shared" si="8"/>
        <v>0.28323418476963474</v>
      </c>
      <c r="N78" s="8" t="str">
        <f t="shared" si="9"/>
        <v>February</v>
      </c>
      <c r="O78" s="8" t="str">
        <f t="shared" si="10"/>
        <v>Q1</v>
      </c>
      <c r="P78" s="8" t="str">
        <f t="shared" si="11"/>
        <v>2025</v>
      </c>
    </row>
    <row r="79" spans="1:16" x14ac:dyDescent="0.25">
      <c r="A79" s="9" t="s">
        <v>114</v>
      </c>
      <c r="B79" s="8" t="s">
        <v>24</v>
      </c>
      <c r="C79" s="8" t="s">
        <v>17</v>
      </c>
      <c r="D79" s="8" t="s">
        <v>22</v>
      </c>
      <c r="E79" s="8" t="s">
        <v>19</v>
      </c>
      <c r="F79" s="10">
        <v>11312</v>
      </c>
      <c r="G79" s="10">
        <v>6869.95</v>
      </c>
      <c r="H79" s="10">
        <v>1286.58</v>
      </c>
      <c r="I79" s="8">
        <v>327</v>
      </c>
      <c r="J79" s="11">
        <v>0.15</v>
      </c>
      <c r="K79" s="10">
        <f t="shared" si="6"/>
        <v>4442.05</v>
      </c>
      <c r="L79" s="10">
        <f t="shared" si="7"/>
        <v>3155.4700000000003</v>
      </c>
      <c r="M79" s="11">
        <f t="shared" si="8"/>
        <v>0.27894890381895332</v>
      </c>
      <c r="N79" s="8" t="str">
        <f t="shared" si="9"/>
        <v>February</v>
      </c>
      <c r="O79" s="8" t="str">
        <f t="shared" si="10"/>
        <v>Q1</v>
      </c>
      <c r="P79" s="8" t="str">
        <f t="shared" si="11"/>
        <v>2025</v>
      </c>
    </row>
    <row r="80" spans="1:16" x14ac:dyDescent="0.25">
      <c r="A80" s="9" t="s">
        <v>114</v>
      </c>
      <c r="B80" s="8" t="s">
        <v>24</v>
      </c>
      <c r="C80" s="8" t="s">
        <v>12</v>
      </c>
      <c r="D80" s="8" t="s">
        <v>22</v>
      </c>
      <c r="E80" s="8" t="s">
        <v>25</v>
      </c>
      <c r="F80" s="10">
        <v>6656</v>
      </c>
      <c r="G80" s="10">
        <v>3755.72</v>
      </c>
      <c r="H80" s="10">
        <v>581.92999999999995</v>
      </c>
      <c r="I80" s="8">
        <v>38</v>
      </c>
      <c r="J80" s="11">
        <v>0.02</v>
      </c>
      <c r="K80" s="10">
        <f t="shared" si="6"/>
        <v>2900.28</v>
      </c>
      <c r="L80" s="10">
        <f t="shared" si="7"/>
        <v>2318.3500000000004</v>
      </c>
      <c r="M80" s="11">
        <f t="shared" si="8"/>
        <v>0.34830979567307696</v>
      </c>
      <c r="N80" s="8" t="str">
        <f t="shared" si="9"/>
        <v>February</v>
      </c>
      <c r="O80" s="8" t="str">
        <f t="shared" si="10"/>
        <v>Q1</v>
      </c>
      <c r="P80" s="8" t="str">
        <f t="shared" si="11"/>
        <v>2025</v>
      </c>
    </row>
    <row r="81" spans="1:16" x14ac:dyDescent="0.25">
      <c r="A81" s="9" t="s">
        <v>114</v>
      </c>
      <c r="B81" s="8" t="s">
        <v>21</v>
      </c>
      <c r="C81" s="8" t="s">
        <v>17</v>
      </c>
      <c r="D81" s="8" t="s">
        <v>22</v>
      </c>
      <c r="E81" s="8" t="s">
        <v>25</v>
      </c>
      <c r="F81" s="10">
        <v>15143</v>
      </c>
      <c r="G81" s="10">
        <v>8749.9500000000007</v>
      </c>
      <c r="H81" s="10">
        <v>2452.44</v>
      </c>
      <c r="I81" s="8">
        <v>143</v>
      </c>
      <c r="J81" s="11">
        <v>0.15</v>
      </c>
      <c r="K81" s="10">
        <f t="shared" si="6"/>
        <v>6393.0499999999993</v>
      </c>
      <c r="L81" s="10">
        <f t="shared" si="7"/>
        <v>3940.6099999999992</v>
      </c>
      <c r="M81" s="11">
        <f t="shared" si="8"/>
        <v>0.2602265072971009</v>
      </c>
      <c r="N81" s="8" t="str">
        <f t="shared" si="9"/>
        <v>February</v>
      </c>
      <c r="O81" s="8" t="str">
        <f t="shared" si="10"/>
        <v>Q1</v>
      </c>
      <c r="P81" s="8" t="str">
        <f t="shared" si="11"/>
        <v>2025</v>
      </c>
    </row>
    <row r="82" spans="1:16" x14ac:dyDescent="0.25">
      <c r="A82" s="9" t="s">
        <v>114</v>
      </c>
      <c r="B82" s="8" t="s">
        <v>11</v>
      </c>
      <c r="C82" s="8" t="s">
        <v>12</v>
      </c>
      <c r="D82" s="8" t="s">
        <v>13</v>
      </c>
      <c r="E82" s="8" t="s">
        <v>19</v>
      </c>
      <c r="F82" s="10">
        <v>12856</v>
      </c>
      <c r="G82" s="10">
        <v>9334.18</v>
      </c>
      <c r="H82" s="10">
        <v>2244.83</v>
      </c>
      <c r="I82" s="8">
        <v>349</v>
      </c>
      <c r="J82" s="11">
        <v>0.1</v>
      </c>
      <c r="K82" s="10">
        <f t="shared" si="6"/>
        <v>3521.8199999999997</v>
      </c>
      <c r="L82" s="10">
        <f t="shared" si="7"/>
        <v>1276.9899999999998</v>
      </c>
      <c r="M82" s="11">
        <f t="shared" si="8"/>
        <v>9.9330273802115732E-2</v>
      </c>
      <c r="N82" s="8" t="str">
        <f t="shared" si="9"/>
        <v>February</v>
      </c>
      <c r="O82" s="8" t="str">
        <f t="shared" si="10"/>
        <v>Q1</v>
      </c>
      <c r="P82" s="8" t="str">
        <f t="shared" si="11"/>
        <v>2025</v>
      </c>
    </row>
    <row r="83" spans="1:16" x14ac:dyDescent="0.25">
      <c r="A83" s="9" t="s">
        <v>60</v>
      </c>
      <c r="B83" s="8" t="s">
        <v>21</v>
      </c>
      <c r="C83" s="8" t="s">
        <v>17</v>
      </c>
      <c r="D83" s="8" t="s">
        <v>22</v>
      </c>
      <c r="E83" s="8" t="s">
        <v>14</v>
      </c>
      <c r="F83" s="10">
        <v>30070</v>
      </c>
      <c r="G83" s="10">
        <v>21399.32</v>
      </c>
      <c r="H83" s="10">
        <v>6020.11</v>
      </c>
      <c r="I83" s="8">
        <v>123</v>
      </c>
      <c r="J83" s="11">
        <v>0.02</v>
      </c>
      <c r="K83" s="10">
        <f t="shared" si="6"/>
        <v>8670.68</v>
      </c>
      <c r="L83" s="10">
        <f t="shared" si="7"/>
        <v>2650.5700000000006</v>
      </c>
      <c r="M83" s="11">
        <f t="shared" si="8"/>
        <v>8.8146657798470252E-2</v>
      </c>
      <c r="N83" s="8" t="str">
        <f t="shared" si="9"/>
        <v>February</v>
      </c>
      <c r="O83" s="8" t="str">
        <f t="shared" si="10"/>
        <v>Q1</v>
      </c>
      <c r="P83" s="8" t="str">
        <f t="shared" si="11"/>
        <v>2025</v>
      </c>
    </row>
    <row r="84" spans="1:16" x14ac:dyDescent="0.25">
      <c r="A84" s="9" t="s">
        <v>37</v>
      </c>
      <c r="B84" s="8" t="s">
        <v>11</v>
      </c>
      <c r="C84" s="8" t="s">
        <v>12</v>
      </c>
      <c r="D84" s="8" t="s">
        <v>27</v>
      </c>
      <c r="E84" s="8" t="s">
        <v>14</v>
      </c>
      <c r="F84" s="10">
        <v>28788</v>
      </c>
      <c r="G84" s="10">
        <v>20543.59</v>
      </c>
      <c r="H84" s="10">
        <v>5654.92</v>
      </c>
      <c r="I84" s="8">
        <v>167</v>
      </c>
      <c r="J84" s="11">
        <v>0.02</v>
      </c>
      <c r="K84" s="10">
        <f t="shared" si="6"/>
        <v>8244.41</v>
      </c>
      <c r="L84" s="10">
        <f t="shared" si="7"/>
        <v>2589.4899999999998</v>
      </c>
      <c r="M84" s="11">
        <f t="shared" si="8"/>
        <v>8.9950326524940935E-2</v>
      </c>
      <c r="N84" s="8" t="str">
        <f t="shared" si="9"/>
        <v>February</v>
      </c>
      <c r="O84" s="8" t="str">
        <f t="shared" si="10"/>
        <v>Q1</v>
      </c>
      <c r="P84" s="8" t="str">
        <f t="shared" si="11"/>
        <v>2025</v>
      </c>
    </row>
    <row r="85" spans="1:16" x14ac:dyDescent="0.25">
      <c r="A85" s="9" t="s">
        <v>37</v>
      </c>
      <c r="B85" s="8" t="s">
        <v>16</v>
      </c>
      <c r="C85" s="8" t="s">
        <v>12</v>
      </c>
      <c r="D85" s="8" t="s">
        <v>22</v>
      </c>
      <c r="E85" s="8" t="s">
        <v>25</v>
      </c>
      <c r="F85" s="10">
        <v>9047</v>
      </c>
      <c r="G85" s="10">
        <v>6320.53</v>
      </c>
      <c r="H85" s="10">
        <v>1867.34</v>
      </c>
      <c r="I85" s="8">
        <v>113</v>
      </c>
      <c r="J85" s="11">
        <v>0.15</v>
      </c>
      <c r="K85" s="10">
        <f t="shared" si="6"/>
        <v>2726.4700000000003</v>
      </c>
      <c r="L85" s="10">
        <f t="shared" si="7"/>
        <v>859.13000000000034</v>
      </c>
      <c r="M85" s="11">
        <f t="shared" si="8"/>
        <v>9.4962971150657716E-2</v>
      </c>
      <c r="N85" s="8" t="str">
        <f t="shared" si="9"/>
        <v>February</v>
      </c>
      <c r="O85" s="8" t="str">
        <f t="shared" si="10"/>
        <v>Q1</v>
      </c>
      <c r="P85" s="8" t="str">
        <f t="shared" si="11"/>
        <v>2025</v>
      </c>
    </row>
    <row r="86" spans="1:16" x14ac:dyDescent="0.25">
      <c r="A86" s="9" t="s">
        <v>37</v>
      </c>
      <c r="B86" s="8" t="s">
        <v>16</v>
      </c>
      <c r="C86" s="8" t="s">
        <v>12</v>
      </c>
      <c r="D86" s="8" t="s">
        <v>27</v>
      </c>
      <c r="E86" s="8" t="s">
        <v>14</v>
      </c>
      <c r="F86" s="10">
        <v>7111</v>
      </c>
      <c r="G86" s="10">
        <v>4926.8100000000004</v>
      </c>
      <c r="H86" s="10">
        <v>986.25</v>
      </c>
      <c r="I86" s="8">
        <v>402</v>
      </c>
      <c r="J86" s="11">
        <v>0</v>
      </c>
      <c r="K86" s="10">
        <f t="shared" si="6"/>
        <v>2184.1899999999996</v>
      </c>
      <c r="L86" s="10">
        <f t="shared" si="7"/>
        <v>1197.9399999999996</v>
      </c>
      <c r="M86" s="11">
        <f t="shared" si="8"/>
        <v>0.16846294473351139</v>
      </c>
      <c r="N86" s="8" t="str">
        <f t="shared" si="9"/>
        <v>February</v>
      </c>
      <c r="O86" s="8" t="str">
        <f t="shared" si="10"/>
        <v>Q1</v>
      </c>
      <c r="P86" s="8" t="str">
        <f t="shared" si="11"/>
        <v>2025</v>
      </c>
    </row>
    <row r="87" spans="1:16" x14ac:dyDescent="0.25">
      <c r="A87" s="9" t="s">
        <v>135</v>
      </c>
      <c r="B87" s="8" t="s">
        <v>21</v>
      </c>
      <c r="C87" s="8" t="s">
        <v>17</v>
      </c>
      <c r="D87" s="8" t="s">
        <v>27</v>
      </c>
      <c r="E87" s="8" t="s">
        <v>14</v>
      </c>
      <c r="F87" s="10">
        <v>27621</v>
      </c>
      <c r="G87" s="10">
        <v>15991.84</v>
      </c>
      <c r="H87" s="10">
        <v>3304.98</v>
      </c>
      <c r="I87" s="8">
        <v>357</v>
      </c>
      <c r="J87" s="11">
        <v>0.15</v>
      </c>
      <c r="K87" s="10">
        <f t="shared" si="6"/>
        <v>11629.16</v>
      </c>
      <c r="L87" s="10">
        <f t="shared" si="7"/>
        <v>8324.18</v>
      </c>
      <c r="M87" s="11">
        <f t="shared" si="8"/>
        <v>0.30137142029615149</v>
      </c>
      <c r="N87" s="8" t="str">
        <f t="shared" si="9"/>
        <v>February</v>
      </c>
      <c r="O87" s="8" t="str">
        <f t="shared" si="10"/>
        <v>Q1</v>
      </c>
      <c r="P87" s="8" t="str">
        <f t="shared" si="11"/>
        <v>2025</v>
      </c>
    </row>
    <row r="88" spans="1:16" x14ac:dyDescent="0.25">
      <c r="A88" s="9" t="s">
        <v>135</v>
      </c>
      <c r="B88" s="8" t="s">
        <v>21</v>
      </c>
      <c r="C88" s="8" t="s">
        <v>17</v>
      </c>
      <c r="D88" s="8" t="s">
        <v>27</v>
      </c>
      <c r="E88" s="8" t="s">
        <v>19</v>
      </c>
      <c r="F88" s="10">
        <v>31544</v>
      </c>
      <c r="G88" s="10">
        <v>14392.17</v>
      </c>
      <c r="H88" s="10">
        <v>3957.75</v>
      </c>
      <c r="I88" s="8">
        <v>420</v>
      </c>
      <c r="J88" s="11">
        <v>0.15</v>
      </c>
      <c r="K88" s="10">
        <f t="shared" si="6"/>
        <v>17151.830000000002</v>
      </c>
      <c r="L88" s="10">
        <f t="shared" si="7"/>
        <v>13194.080000000002</v>
      </c>
      <c r="M88" s="11">
        <f t="shared" si="8"/>
        <v>0.4182754248034492</v>
      </c>
      <c r="N88" s="8" t="str">
        <f t="shared" si="9"/>
        <v>February</v>
      </c>
      <c r="O88" s="8" t="str">
        <f t="shared" si="10"/>
        <v>Q1</v>
      </c>
      <c r="P88" s="8" t="str">
        <f t="shared" si="11"/>
        <v>2025</v>
      </c>
    </row>
    <row r="89" spans="1:16" x14ac:dyDescent="0.25">
      <c r="A89" s="9" t="s">
        <v>135</v>
      </c>
      <c r="B89" s="8" t="s">
        <v>11</v>
      </c>
      <c r="C89" s="8" t="s">
        <v>17</v>
      </c>
      <c r="D89" s="8" t="s">
        <v>22</v>
      </c>
      <c r="E89" s="8" t="s">
        <v>25</v>
      </c>
      <c r="F89" s="10">
        <v>6698</v>
      </c>
      <c r="G89" s="10">
        <v>4492.37</v>
      </c>
      <c r="H89" s="10">
        <v>1003.8</v>
      </c>
      <c r="I89" s="8">
        <v>208</v>
      </c>
      <c r="J89" s="11">
        <v>0.15</v>
      </c>
      <c r="K89" s="10">
        <f t="shared" si="6"/>
        <v>2205.63</v>
      </c>
      <c r="L89" s="10">
        <f t="shared" si="7"/>
        <v>1201.8300000000002</v>
      </c>
      <c r="M89" s="11">
        <f t="shared" si="8"/>
        <v>0.17943117348462229</v>
      </c>
      <c r="N89" s="8" t="str">
        <f t="shared" si="9"/>
        <v>February</v>
      </c>
      <c r="O89" s="8" t="str">
        <f t="shared" si="10"/>
        <v>Q1</v>
      </c>
      <c r="P89" s="8" t="str">
        <f t="shared" si="11"/>
        <v>2025</v>
      </c>
    </row>
    <row r="90" spans="1:16" x14ac:dyDescent="0.25">
      <c r="A90" s="9" t="s">
        <v>135</v>
      </c>
      <c r="B90" s="8" t="s">
        <v>16</v>
      </c>
      <c r="C90" s="8" t="s">
        <v>17</v>
      </c>
      <c r="D90" s="8" t="s">
        <v>13</v>
      </c>
      <c r="E90" s="8" t="s">
        <v>19</v>
      </c>
      <c r="F90" s="10">
        <v>11964</v>
      </c>
      <c r="G90" s="10">
        <v>7170.29</v>
      </c>
      <c r="H90" s="10">
        <v>1977.17</v>
      </c>
      <c r="I90" s="8">
        <v>408</v>
      </c>
      <c r="J90" s="11">
        <v>0.05</v>
      </c>
      <c r="K90" s="10">
        <f t="shared" si="6"/>
        <v>4793.71</v>
      </c>
      <c r="L90" s="10">
        <f t="shared" si="7"/>
        <v>2816.54</v>
      </c>
      <c r="M90" s="11">
        <f t="shared" si="8"/>
        <v>0.23541792042795051</v>
      </c>
      <c r="N90" s="8" t="str">
        <f t="shared" si="9"/>
        <v>February</v>
      </c>
      <c r="O90" s="8" t="str">
        <f t="shared" si="10"/>
        <v>Q1</v>
      </c>
      <c r="P90" s="8" t="str">
        <f t="shared" si="11"/>
        <v>2025</v>
      </c>
    </row>
    <row r="91" spans="1:16" x14ac:dyDescent="0.25">
      <c r="A91" s="9" t="s">
        <v>135</v>
      </c>
      <c r="B91" s="8" t="s">
        <v>24</v>
      </c>
      <c r="C91" s="8" t="s">
        <v>17</v>
      </c>
      <c r="D91" s="8" t="s">
        <v>13</v>
      </c>
      <c r="E91" s="8" t="s">
        <v>14</v>
      </c>
      <c r="F91" s="10">
        <v>30288</v>
      </c>
      <c r="G91" s="10">
        <v>15961.08</v>
      </c>
      <c r="H91" s="10">
        <v>5492.93</v>
      </c>
      <c r="I91" s="8">
        <v>22</v>
      </c>
      <c r="J91" s="11">
        <v>0.15</v>
      </c>
      <c r="K91" s="10">
        <f t="shared" si="6"/>
        <v>14326.92</v>
      </c>
      <c r="L91" s="10">
        <f t="shared" si="7"/>
        <v>8833.99</v>
      </c>
      <c r="M91" s="11">
        <f t="shared" si="8"/>
        <v>0.29166633650290541</v>
      </c>
      <c r="N91" s="8" t="str">
        <f t="shared" si="9"/>
        <v>February</v>
      </c>
      <c r="O91" s="8" t="str">
        <f t="shared" si="10"/>
        <v>Q1</v>
      </c>
      <c r="P91" s="8" t="str">
        <f t="shared" si="11"/>
        <v>2025</v>
      </c>
    </row>
    <row r="92" spans="1:16" x14ac:dyDescent="0.25">
      <c r="A92" s="9" t="s">
        <v>195</v>
      </c>
      <c r="B92" s="8" t="s">
        <v>21</v>
      </c>
      <c r="C92" s="8" t="s">
        <v>12</v>
      </c>
      <c r="D92" s="8" t="s">
        <v>22</v>
      </c>
      <c r="E92" s="8" t="s">
        <v>19</v>
      </c>
      <c r="F92" s="10">
        <v>36386</v>
      </c>
      <c r="G92" s="10">
        <v>26355.56</v>
      </c>
      <c r="H92" s="10">
        <v>6454.43</v>
      </c>
      <c r="I92" s="8">
        <v>370</v>
      </c>
      <c r="J92" s="11">
        <v>0.02</v>
      </c>
      <c r="K92" s="10">
        <f t="shared" si="6"/>
        <v>10030.439999999999</v>
      </c>
      <c r="L92" s="10">
        <f t="shared" si="7"/>
        <v>3576.0099999999984</v>
      </c>
      <c r="M92" s="11">
        <f t="shared" si="8"/>
        <v>9.8279832902764749E-2</v>
      </c>
      <c r="N92" s="8" t="str">
        <f t="shared" si="9"/>
        <v>March</v>
      </c>
      <c r="O92" s="8" t="str">
        <f t="shared" si="10"/>
        <v>Q1</v>
      </c>
      <c r="P92" s="8" t="str">
        <f t="shared" si="11"/>
        <v>2025</v>
      </c>
    </row>
    <row r="93" spans="1:16" x14ac:dyDescent="0.25">
      <c r="A93" s="9" t="s">
        <v>49</v>
      </c>
      <c r="B93" s="8" t="s">
        <v>21</v>
      </c>
      <c r="C93" s="8" t="s">
        <v>17</v>
      </c>
      <c r="D93" s="8" t="s">
        <v>22</v>
      </c>
      <c r="E93" s="8" t="s">
        <v>14</v>
      </c>
      <c r="F93" s="10">
        <v>42334</v>
      </c>
      <c r="G93" s="10">
        <v>22177.279999999999</v>
      </c>
      <c r="H93" s="10">
        <v>6910.29</v>
      </c>
      <c r="I93" s="8">
        <v>327</v>
      </c>
      <c r="J93" s="11">
        <v>0</v>
      </c>
      <c r="K93" s="10">
        <f t="shared" si="6"/>
        <v>20156.72</v>
      </c>
      <c r="L93" s="10">
        <f t="shared" si="7"/>
        <v>13246.43</v>
      </c>
      <c r="M93" s="11">
        <f t="shared" si="8"/>
        <v>0.31290286767137526</v>
      </c>
      <c r="N93" s="8" t="str">
        <f t="shared" si="9"/>
        <v>March</v>
      </c>
      <c r="O93" s="8" t="str">
        <f t="shared" si="10"/>
        <v>Q1</v>
      </c>
      <c r="P93" s="8" t="str">
        <f t="shared" si="11"/>
        <v>2025</v>
      </c>
    </row>
    <row r="94" spans="1:16" x14ac:dyDescent="0.25">
      <c r="A94" s="9" t="s">
        <v>49</v>
      </c>
      <c r="B94" s="8" t="s">
        <v>21</v>
      </c>
      <c r="C94" s="8" t="s">
        <v>17</v>
      </c>
      <c r="D94" s="8" t="s">
        <v>22</v>
      </c>
      <c r="E94" s="8" t="s">
        <v>14</v>
      </c>
      <c r="F94" s="10">
        <v>40118</v>
      </c>
      <c r="G94" s="10">
        <v>29497.29</v>
      </c>
      <c r="H94" s="10">
        <v>7085.76</v>
      </c>
      <c r="I94" s="8">
        <v>108</v>
      </c>
      <c r="J94" s="11">
        <v>0.02</v>
      </c>
      <c r="K94" s="10">
        <f t="shared" si="6"/>
        <v>10620.71</v>
      </c>
      <c r="L94" s="10">
        <f t="shared" si="7"/>
        <v>3534.9499999999989</v>
      </c>
      <c r="M94" s="11">
        <f t="shared" si="8"/>
        <v>8.8113814247968464E-2</v>
      </c>
      <c r="N94" s="8" t="str">
        <f t="shared" si="9"/>
        <v>March</v>
      </c>
      <c r="O94" s="8" t="str">
        <f t="shared" si="10"/>
        <v>Q1</v>
      </c>
      <c r="P94" s="8" t="str">
        <f t="shared" si="11"/>
        <v>2025</v>
      </c>
    </row>
    <row r="95" spans="1:16" x14ac:dyDescent="0.25">
      <c r="A95" s="9" t="s">
        <v>49</v>
      </c>
      <c r="B95" s="8" t="s">
        <v>16</v>
      </c>
      <c r="C95" s="8" t="s">
        <v>17</v>
      </c>
      <c r="D95" s="8" t="s">
        <v>27</v>
      </c>
      <c r="E95" s="8" t="s">
        <v>19</v>
      </c>
      <c r="F95" s="10">
        <v>5506</v>
      </c>
      <c r="G95" s="10">
        <v>3299.28</v>
      </c>
      <c r="H95" s="10">
        <v>772.45</v>
      </c>
      <c r="I95" s="8">
        <v>76</v>
      </c>
      <c r="J95" s="11">
        <v>0.1</v>
      </c>
      <c r="K95" s="10">
        <f t="shared" si="6"/>
        <v>2206.7199999999998</v>
      </c>
      <c r="L95" s="10">
        <f t="shared" si="7"/>
        <v>1434.2699999999998</v>
      </c>
      <c r="M95" s="11">
        <f t="shared" si="8"/>
        <v>0.26049219033781323</v>
      </c>
      <c r="N95" s="8" t="str">
        <f t="shared" si="9"/>
        <v>March</v>
      </c>
      <c r="O95" s="8" t="str">
        <f t="shared" si="10"/>
        <v>Q1</v>
      </c>
      <c r="P95" s="8" t="str">
        <f t="shared" si="11"/>
        <v>2025</v>
      </c>
    </row>
    <row r="96" spans="1:16" x14ac:dyDescent="0.25">
      <c r="A96" s="9" t="s">
        <v>49</v>
      </c>
      <c r="B96" s="8" t="s">
        <v>11</v>
      </c>
      <c r="C96" s="8" t="s">
        <v>12</v>
      </c>
      <c r="D96" s="8" t="s">
        <v>22</v>
      </c>
      <c r="E96" s="8" t="s">
        <v>14</v>
      </c>
      <c r="F96" s="10">
        <v>10925</v>
      </c>
      <c r="G96" s="10">
        <v>5432.83</v>
      </c>
      <c r="H96" s="10">
        <v>1923.32</v>
      </c>
      <c r="I96" s="8">
        <v>433</v>
      </c>
      <c r="J96" s="11">
        <v>0.15</v>
      </c>
      <c r="K96" s="10">
        <f t="shared" si="6"/>
        <v>5492.17</v>
      </c>
      <c r="L96" s="10">
        <f t="shared" si="7"/>
        <v>3568.8500000000004</v>
      </c>
      <c r="M96" s="11">
        <f t="shared" si="8"/>
        <v>0.32666819221967969</v>
      </c>
      <c r="N96" s="8" t="str">
        <f t="shared" si="9"/>
        <v>March</v>
      </c>
      <c r="O96" s="8" t="str">
        <f t="shared" si="10"/>
        <v>Q1</v>
      </c>
      <c r="P96" s="8" t="str">
        <f t="shared" si="11"/>
        <v>2025</v>
      </c>
    </row>
    <row r="97" spans="1:16" x14ac:dyDescent="0.25">
      <c r="A97" s="9" t="s">
        <v>124</v>
      </c>
      <c r="B97" s="8" t="s">
        <v>11</v>
      </c>
      <c r="C97" s="8" t="s">
        <v>12</v>
      </c>
      <c r="D97" s="8" t="s">
        <v>22</v>
      </c>
      <c r="E97" s="8" t="s">
        <v>14</v>
      </c>
      <c r="F97" s="10">
        <v>34800</v>
      </c>
      <c r="G97" s="10">
        <v>16617.07</v>
      </c>
      <c r="H97" s="10">
        <v>3817.38</v>
      </c>
      <c r="I97" s="8">
        <v>337</v>
      </c>
      <c r="J97" s="11">
        <v>0.15</v>
      </c>
      <c r="K97" s="10">
        <f t="shared" si="6"/>
        <v>18182.93</v>
      </c>
      <c r="L97" s="10">
        <f t="shared" si="7"/>
        <v>14365.55</v>
      </c>
      <c r="M97" s="11">
        <f t="shared" si="8"/>
        <v>0.41280316091954022</v>
      </c>
      <c r="N97" s="8" t="str">
        <f t="shared" si="9"/>
        <v>March</v>
      </c>
      <c r="O97" s="8" t="str">
        <f t="shared" si="10"/>
        <v>Q1</v>
      </c>
      <c r="P97" s="8" t="str">
        <f t="shared" si="11"/>
        <v>2025</v>
      </c>
    </row>
    <row r="98" spans="1:16" x14ac:dyDescent="0.25">
      <c r="A98" s="9" t="s">
        <v>26</v>
      </c>
      <c r="B98" s="8" t="s">
        <v>24</v>
      </c>
      <c r="C98" s="8" t="s">
        <v>12</v>
      </c>
      <c r="D98" s="8" t="s">
        <v>27</v>
      </c>
      <c r="E98" s="8" t="s">
        <v>14</v>
      </c>
      <c r="F98" s="10">
        <v>29807</v>
      </c>
      <c r="G98" s="10">
        <v>14117.79</v>
      </c>
      <c r="H98" s="10">
        <v>3607.99</v>
      </c>
      <c r="I98" s="8">
        <v>331</v>
      </c>
      <c r="J98" s="11">
        <v>0.15</v>
      </c>
      <c r="K98" s="10">
        <f t="shared" si="6"/>
        <v>15689.21</v>
      </c>
      <c r="L98" s="10">
        <f t="shared" si="7"/>
        <v>12081.22</v>
      </c>
      <c r="M98" s="11">
        <f t="shared" si="8"/>
        <v>0.40531485892575569</v>
      </c>
      <c r="N98" s="8" t="str">
        <f t="shared" si="9"/>
        <v>March</v>
      </c>
      <c r="O98" s="8" t="str">
        <f t="shared" si="10"/>
        <v>Q1</v>
      </c>
      <c r="P98" s="8" t="str">
        <f t="shared" si="11"/>
        <v>2025</v>
      </c>
    </row>
    <row r="99" spans="1:16" x14ac:dyDescent="0.25">
      <c r="A99" s="9" t="s">
        <v>26</v>
      </c>
      <c r="B99" s="8" t="s">
        <v>16</v>
      </c>
      <c r="C99" s="8" t="s">
        <v>12</v>
      </c>
      <c r="D99" s="8" t="s">
        <v>22</v>
      </c>
      <c r="E99" s="8" t="s">
        <v>14</v>
      </c>
      <c r="F99" s="10">
        <v>15353</v>
      </c>
      <c r="G99" s="10">
        <v>8941.3700000000008</v>
      </c>
      <c r="H99" s="10">
        <v>1229.69</v>
      </c>
      <c r="I99" s="8">
        <v>500</v>
      </c>
      <c r="J99" s="11">
        <v>0.1</v>
      </c>
      <c r="K99" s="10">
        <f t="shared" si="6"/>
        <v>6411.6299999999992</v>
      </c>
      <c r="L99" s="10">
        <f t="shared" si="7"/>
        <v>5181.9399999999987</v>
      </c>
      <c r="M99" s="11">
        <f t="shared" si="8"/>
        <v>0.33751970298964362</v>
      </c>
      <c r="N99" s="8" t="str">
        <f t="shared" si="9"/>
        <v>March</v>
      </c>
      <c r="O99" s="8" t="str">
        <f t="shared" si="10"/>
        <v>Q1</v>
      </c>
      <c r="P99" s="8" t="str">
        <f t="shared" si="11"/>
        <v>2025</v>
      </c>
    </row>
    <row r="100" spans="1:16" x14ac:dyDescent="0.25">
      <c r="A100" s="9" t="s">
        <v>26</v>
      </c>
      <c r="B100" s="8" t="s">
        <v>16</v>
      </c>
      <c r="C100" s="8" t="s">
        <v>12</v>
      </c>
      <c r="D100" s="8" t="s">
        <v>22</v>
      </c>
      <c r="E100" s="8" t="s">
        <v>25</v>
      </c>
      <c r="F100" s="10">
        <v>43638</v>
      </c>
      <c r="G100" s="10">
        <v>29193.94</v>
      </c>
      <c r="H100" s="10">
        <v>5638.68</v>
      </c>
      <c r="I100" s="8">
        <v>229</v>
      </c>
      <c r="J100" s="11">
        <v>0.05</v>
      </c>
      <c r="K100" s="10">
        <f t="shared" si="6"/>
        <v>14444.060000000001</v>
      </c>
      <c r="L100" s="10">
        <f t="shared" si="7"/>
        <v>8805.380000000001</v>
      </c>
      <c r="M100" s="11">
        <f t="shared" si="8"/>
        <v>0.20178239149365235</v>
      </c>
      <c r="N100" s="8" t="str">
        <f t="shared" si="9"/>
        <v>March</v>
      </c>
      <c r="O100" s="8" t="str">
        <f t="shared" si="10"/>
        <v>Q1</v>
      </c>
      <c r="P100" s="8" t="str">
        <f t="shared" si="11"/>
        <v>2025</v>
      </c>
    </row>
    <row r="101" spans="1:16" x14ac:dyDescent="0.25">
      <c r="A101" s="9" t="s">
        <v>125</v>
      </c>
      <c r="B101" s="8" t="s">
        <v>16</v>
      </c>
      <c r="C101" s="8" t="s">
        <v>12</v>
      </c>
      <c r="D101" s="8" t="s">
        <v>22</v>
      </c>
      <c r="E101" s="8" t="s">
        <v>14</v>
      </c>
      <c r="F101" s="10">
        <v>42000</v>
      </c>
      <c r="G101" s="10">
        <v>21485.59</v>
      </c>
      <c r="H101" s="10">
        <v>8239.33</v>
      </c>
      <c r="I101" s="8">
        <v>293</v>
      </c>
      <c r="J101" s="11">
        <v>0.02</v>
      </c>
      <c r="K101" s="10">
        <f t="shared" si="6"/>
        <v>20514.41</v>
      </c>
      <c r="L101" s="10">
        <f t="shared" si="7"/>
        <v>12275.08</v>
      </c>
      <c r="M101" s="11">
        <f t="shared" si="8"/>
        <v>0.29226380952380954</v>
      </c>
      <c r="N101" s="8" t="str">
        <f t="shared" si="9"/>
        <v>March</v>
      </c>
      <c r="O101" s="8" t="str">
        <f t="shared" si="10"/>
        <v>Q1</v>
      </c>
      <c r="P101" s="8" t="str">
        <f t="shared" si="11"/>
        <v>2025</v>
      </c>
    </row>
    <row r="102" spans="1:16" x14ac:dyDescent="0.25">
      <c r="A102" s="9" t="s">
        <v>125</v>
      </c>
      <c r="B102" s="8" t="s">
        <v>11</v>
      </c>
      <c r="C102" s="8" t="s">
        <v>12</v>
      </c>
      <c r="D102" s="8" t="s">
        <v>13</v>
      </c>
      <c r="E102" s="8" t="s">
        <v>19</v>
      </c>
      <c r="F102" s="10">
        <v>9406</v>
      </c>
      <c r="G102" s="10">
        <v>4898.63</v>
      </c>
      <c r="H102" s="10">
        <v>1602.06</v>
      </c>
      <c r="I102" s="8">
        <v>195</v>
      </c>
      <c r="J102" s="11">
        <v>0.1</v>
      </c>
      <c r="K102" s="10">
        <f t="shared" si="6"/>
        <v>4507.37</v>
      </c>
      <c r="L102" s="10">
        <f t="shared" si="7"/>
        <v>2905.31</v>
      </c>
      <c r="M102" s="11">
        <f t="shared" si="8"/>
        <v>0.3088783755049968</v>
      </c>
      <c r="N102" s="8" t="str">
        <f t="shared" si="9"/>
        <v>March</v>
      </c>
      <c r="O102" s="8" t="str">
        <f t="shared" si="10"/>
        <v>Q1</v>
      </c>
      <c r="P102" s="8" t="str">
        <f t="shared" si="11"/>
        <v>2025</v>
      </c>
    </row>
    <row r="103" spans="1:16" x14ac:dyDescent="0.25">
      <c r="A103" s="9" t="s">
        <v>57</v>
      </c>
      <c r="B103" s="8" t="s">
        <v>24</v>
      </c>
      <c r="C103" s="8" t="s">
        <v>12</v>
      </c>
      <c r="D103" s="8" t="s">
        <v>18</v>
      </c>
      <c r="E103" s="8" t="s">
        <v>25</v>
      </c>
      <c r="F103" s="10">
        <v>7741</v>
      </c>
      <c r="G103" s="10">
        <v>4199.32</v>
      </c>
      <c r="H103" s="10">
        <v>1593.54</v>
      </c>
      <c r="I103" s="8">
        <v>417</v>
      </c>
      <c r="J103" s="11">
        <v>0</v>
      </c>
      <c r="K103" s="10">
        <f t="shared" si="6"/>
        <v>3541.6800000000003</v>
      </c>
      <c r="L103" s="10">
        <f t="shared" si="7"/>
        <v>1948.1400000000003</v>
      </c>
      <c r="M103" s="11">
        <f t="shared" si="8"/>
        <v>0.25166515954011115</v>
      </c>
      <c r="N103" s="8" t="str">
        <f t="shared" si="9"/>
        <v>March</v>
      </c>
      <c r="O103" s="8" t="str">
        <f t="shared" si="10"/>
        <v>Q1</v>
      </c>
      <c r="P103" s="8" t="str">
        <f t="shared" si="11"/>
        <v>2025</v>
      </c>
    </row>
    <row r="104" spans="1:16" x14ac:dyDescent="0.25">
      <c r="A104" s="9" t="s">
        <v>57</v>
      </c>
      <c r="B104" s="8" t="s">
        <v>24</v>
      </c>
      <c r="C104" s="8" t="s">
        <v>12</v>
      </c>
      <c r="D104" s="8" t="s">
        <v>18</v>
      </c>
      <c r="E104" s="8" t="s">
        <v>19</v>
      </c>
      <c r="F104" s="10">
        <v>21951</v>
      </c>
      <c r="G104" s="10">
        <v>14653.52</v>
      </c>
      <c r="H104" s="10">
        <v>3474.06</v>
      </c>
      <c r="I104" s="8">
        <v>477</v>
      </c>
      <c r="J104" s="11">
        <v>0.02</v>
      </c>
      <c r="K104" s="10">
        <f t="shared" si="6"/>
        <v>7297.48</v>
      </c>
      <c r="L104" s="10">
        <f t="shared" si="7"/>
        <v>3823.4199999999996</v>
      </c>
      <c r="M104" s="11">
        <f t="shared" si="8"/>
        <v>0.1741797640198624</v>
      </c>
      <c r="N104" s="8" t="str">
        <f t="shared" si="9"/>
        <v>March</v>
      </c>
      <c r="O104" s="8" t="str">
        <f t="shared" si="10"/>
        <v>Q1</v>
      </c>
      <c r="P104" s="8" t="str">
        <f t="shared" si="11"/>
        <v>2025</v>
      </c>
    </row>
    <row r="105" spans="1:16" x14ac:dyDescent="0.25">
      <c r="A105" s="9" t="s">
        <v>169</v>
      </c>
      <c r="B105" s="8" t="s">
        <v>11</v>
      </c>
      <c r="C105" s="8" t="s">
        <v>17</v>
      </c>
      <c r="D105" s="8" t="s">
        <v>13</v>
      </c>
      <c r="E105" s="8" t="s">
        <v>14</v>
      </c>
      <c r="F105" s="10">
        <v>29283</v>
      </c>
      <c r="G105" s="10">
        <v>17701.400000000001</v>
      </c>
      <c r="H105" s="10">
        <v>2777.95</v>
      </c>
      <c r="I105" s="8">
        <v>133</v>
      </c>
      <c r="J105" s="11">
        <v>0.1</v>
      </c>
      <c r="K105" s="10">
        <f t="shared" si="6"/>
        <v>11581.599999999999</v>
      </c>
      <c r="L105" s="10">
        <f t="shared" si="7"/>
        <v>8803.6499999999978</v>
      </c>
      <c r="M105" s="11">
        <f t="shared" si="8"/>
        <v>0.30064030324761798</v>
      </c>
      <c r="N105" s="8" t="str">
        <f t="shared" si="9"/>
        <v>March</v>
      </c>
      <c r="O105" s="8" t="str">
        <f t="shared" si="10"/>
        <v>Q1</v>
      </c>
      <c r="P105" s="8" t="str">
        <f t="shared" si="11"/>
        <v>2025</v>
      </c>
    </row>
    <row r="106" spans="1:16" x14ac:dyDescent="0.25">
      <c r="A106" s="9" t="s">
        <v>169</v>
      </c>
      <c r="B106" s="8" t="s">
        <v>21</v>
      </c>
      <c r="C106" s="8" t="s">
        <v>17</v>
      </c>
      <c r="D106" s="8" t="s">
        <v>27</v>
      </c>
      <c r="E106" s="8" t="s">
        <v>25</v>
      </c>
      <c r="F106" s="10">
        <v>44549</v>
      </c>
      <c r="G106" s="10">
        <v>27254.45</v>
      </c>
      <c r="H106" s="10">
        <v>3571.41</v>
      </c>
      <c r="I106" s="8">
        <v>490</v>
      </c>
      <c r="J106" s="11">
        <v>0.1</v>
      </c>
      <c r="K106" s="10">
        <f t="shared" si="6"/>
        <v>17294.55</v>
      </c>
      <c r="L106" s="10">
        <f t="shared" si="7"/>
        <v>13723.14</v>
      </c>
      <c r="M106" s="11">
        <f t="shared" si="8"/>
        <v>0.30804597185122001</v>
      </c>
      <c r="N106" s="8" t="str">
        <f t="shared" si="9"/>
        <v>March</v>
      </c>
      <c r="O106" s="8" t="str">
        <f t="shared" si="10"/>
        <v>Q1</v>
      </c>
      <c r="P106" s="8" t="str">
        <f t="shared" si="11"/>
        <v>2025</v>
      </c>
    </row>
    <row r="107" spans="1:16" x14ac:dyDescent="0.25">
      <c r="A107" s="9" t="s">
        <v>118</v>
      </c>
      <c r="B107" s="8" t="s">
        <v>16</v>
      </c>
      <c r="C107" s="8" t="s">
        <v>17</v>
      </c>
      <c r="D107" s="8" t="s">
        <v>13</v>
      </c>
      <c r="E107" s="8" t="s">
        <v>19</v>
      </c>
      <c r="F107" s="10">
        <v>40350</v>
      </c>
      <c r="G107" s="10">
        <v>28767.06</v>
      </c>
      <c r="H107" s="10">
        <v>5294.73</v>
      </c>
      <c r="I107" s="8">
        <v>266</v>
      </c>
      <c r="J107" s="11">
        <v>0.05</v>
      </c>
      <c r="K107" s="10">
        <f t="shared" si="6"/>
        <v>11582.939999999999</v>
      </c>
      <c r="L107" s="10">
        <f t="shared" si="7"/>
        <v>6288.2099999999991</v>
      </c>
      <c r="M107" s="11">
        <f t="shared" si="8"/>
        <v>0.15584163568773232</v>
      </c>
      <c r="N107" s="8" t="str">
        <f t="shared" si="9"/>
        <v>March</v>
      </c>
      <c r="O107" s="8" t="str">
        <f t="shared" si="10"/>
        <v>Q1</v>
      </c>
      <c r="P107" s="8" t="str">
        <f t="shared" si="11"/>
        <v>2025</v>
      </c>
    </row>
    <row r="108" spans="1:16" x14ac:dyDescent="0.25">
      <c r="A108" s="9" t="s">
        <v>118</v>
      </c>
      <c r="B108" s="8" t="s">
        <v>24</v>
      </c>
      <c r="C108" s="8" t="s">
        <v>12</v>
      </c>
      <c r="D108" s="8" t="s">
        <v>13</v>
      </c>
      <c r="E108" s="8" t="s">
        <v>25</v>
      </c>
      <c r="F108" s="10">
        <v>18840</v>
      </c>
      <c r="G108" s="10">
        <v>12627</v>
      </c>
      <c r="H108" s="10">
        <v>3062.57</v>
      </c>
      <c r="I108" s="8">
        <v>96</v>
      </c>
      <c r="J108" s="11">
        <v>0</v>
      </c>
      <c r="K108" s="10">
        <f t="shared" si="6"/>
        <v>6213</v>
      </c>
      <c r="L108" s="10">
        <f t="shared" si="7"/>
        <v>3150.43</v>
      </c>
      <c r="M108" s="11">
        <f t="shared" si="8"/>
        <v>0.16722027600849257</v>
      </c>
      <c r="N108" s="8" t="str">
        <f t="shared" si="9"/>
        <v>March</v>
      </c>
      <c r="O108" s="8" t="str">
        <f t="shared" si="10"/>
        <v>Q1</v>
      </c>
      <c r="P108" s="8" t="str">
        <f t="shared" si="11"/>
        <v>2025</v>
      </c>
    </row>
    <row r="109" spans="1:16" x14ac:dyDescent="0.25">
      <c r="A109" s="9" t="s">
        <v>118</v>
      </c>
      <c r="B109" s="8" t="s">
        <v>21</v>
      </c>
      <c r="C109" s="8" t="s">
        <v>17</v>
      </c>
      <c r="D109" s="8" t="s">
        <v>18</v>
      </c>
      <c r="E109" s="8" t="s">
        <v>25</v>
      </c>
      <c r="F109" s="10">
        <v>8843</v>
      </c>
      <c r="G109" s="10">
        <v>6583.35</v>
      </c>
      <c r="H109" s="10">
        <v>1752.76</v>
      </c>
      <c r="I109" s="8">
        <v>63</v>
      </c>
      <c r="J109" s="11">
        <v>0.1</v>
      </c>
      <c r="K109" s="10">
        <f t="shared" si="6"/>
        <v>2259.6499999999996</v>
      </c>
      <c r="L109" s="10">
        <f t="shared" si="7"/>
        <v>506.88999999999965</v>
      </c>
      <c r="M109" s="11">
        <f t="shared" si="8"/>
        <v>5.7321044894266614E-2</v>
      </c>
      <c r="N109" s="8" t="str">
        <f t="shared" si="9"/>
        <v>March</v>
      </c>
      <c r="O109" s="8" t="str">
        <f t="shared" si="10"/>
        <v>Q1</v>
      </c>
      <c r="P109" s="8" t="str">
        <f t="shared" si="11"/>
        <v>2025</v>
      </c>
    </row>
    <row r="110" spans="1:16" x14ac:dyDescent="0.25">
      <c r="A110" s="9" t="s">
        <v>118</v>
      </c>
      <c r="B110" s="8" t="s">
        <v>21</v>
      </c>
      <c r="C110" s="8" t="s">
        <v>12</v>
      </c>
      <c r="D110" s="8" t="s">
        <v>27</v>
      </c>
      <c r="E110" s="8" t="s">
        <v>14</v>
      </c>
      <c r="F110" s="10">
        <v>12115</v>
      </c>
      <c r="G110" s="10">
        <v>5511.95</v>
      </c>
      <c r="H110" s="10">
        <v>1855.77</v>
      </c>
      <c r="I110" s="8">
        <v>475</v>
      </c>
      <c r="J110" s="11">
        <v>0.15</v>
      </c>
      <c r="K110" s="10">
        <f t="shared" si="6"/>
        <v>6603.05</v>
      </c>
      <c r="L110" s="10">
        <f t="shared" si="7"/>
        <v>4747.2800000000007</v>
      </c>
      <c r="M110" s="11">
        <f t="shared" si="8"/>
        <v>0.3918514238547256</v>
      </c>
      <c r="N110" s="8" t="str">
        <f t="shared" si="9"/>
        <v>March</v>
      </c>
      <c r="O110" s="8" t="str">
        <f t="shared" si="10"/>
        <v>Q1</v>
      </c>
      <c r="P110" s="8" t="str">
        <f t="shared" si="11"/>
        <v>2025</v>
      </c>
    </row>
    <row r="111" spans="1:16" x14ac:dyDescent="0.25">
      <c r="A111" s="9" t="s">
        <v>212</v>
      </c>
      <c r="B111" s="8" t="s">
        <v>16</v>
      </c>
      <c r="C111" s="8" t="s">
        <v>17</v>
      </c>
      <c r="D111" s="8" t="s">
        <v>13</v>
      </c>
      <c r="E111" s="8" t="s">
        <v>25</v>
      </c>
      <c r="F111" s="10">
        <v>25524</v>
      </c>
      <c r="G111" s="10">
        <v>12388.29</v>
      </c>
      <c r="H111" s="10">
        <v>3133.15</v>
      </c>
      <c r="I111" s="8">
        <v>103</v>
      </c>
      <c r="J111" s="11">
        <v>0.05</v>
      </c>
      <c r="K111" s="10">
        <f t="shared" si="6"/>
        <v>13135.71</v>
      </c>
      <c r="L111" s="10">
        <f t="shared" si="7"/>
        <v>10002.56</v>
      </c>
      <c r="M111" s="11">
        <f t="shared" si="8"/>
        <v>0.39188841874314367</v>
      </c>
      <c r="N111" s="8" t="str">
        <f t="shared" si="9"/>
        <v>March</v>
      </c>
      <c r="O111" s="8" t="str">
        <f t="shared" si="10"/>
        <v>Q1</v>
      </c>
      <c r="P111" s="8" t="str">
        <f t="shared" si="11"/>
        <v>2025</v>
      </c>
    </row>
    <row r="112" spans="1:16" x14ac:dyDescent="0.25">
      <c r="A112" s="9" t="s">
        <v>212</v>
      </c>
      <c r="B112" s="8" t="s">
        <v>21</v>
      </c>
      <c r="C112" s="8" t="s">
        <v>12</v>
      </c>
      <c r="D112" s="8" t="s">
        <v>18</v>
      </c>
      <c r="E112" s="8" t="s">
        <v>19</v>
      </c>
      <c r="F112" s="10">
        <v>46760</v>
      </c>
      <c r="G112" s="10">
        <v>32544.44</v>
      </c>
      <c r="H112" s="10">
        <v>4230.67</v>
      </c>
      <c r="I112" s="8">
        <v>300</v>
      </c>
      <c r="J112" s="11">
        <v>0</v>
      </c>
      <c r="K112" s="10">
        <f t="shared" si="6"/>
        <v>14215.560000000001</v>
      </c>
      <c r="L112" s="10">
        <f t="shared" si="7"/>
        <v>9984.8900000000012</v>
      </c>
      <c r="M112" s="11">
        <f t="shared" si="8"/>
        <v>0.21353485885372114</v>
      </c>
      <c r="N112" s="8" t="str">
        <f t="shared" si="9"/>
        <v>March</v>
      </c>
      <c r="O112" s="8" t="str">
        <f t="shared" si="10"/>
        <v>Q1</v>
      </c>
      <c r="P112" s="8" t="str">
        <f t="shared" si="11"/>
        <v>2025</v>
      </c>
    </row>
    <row r="113" spans="1:16" x14ac:dyDescent="0.25">
      <c r="A113" s="9" t="s">
        <v>206</v>
      </c>
      <c r="B113" s="8" t="s">
        <v>21</v>
      </c>
      <c r="C113" s="8" t="s">
        <v>17</v>
      </c>
      <c r="D113" s="8" t="s">
        <v>13</v>
      </c>
      <c r="E113" s="8" t="s">
        <v>19</v>
      </c>
      <c r="F113" s="10">
        <v>24966</v>
      </c>
      <c r="G113" s="10">
        <v>11285.39</v>
      </c>
      <c r="H113" s="10">
        <v>3380.32</v>
      </c>
      <c r="I113" s="8">
        <v>440</v>
      </c>
      <c r="J113" s="11">
        <v>0.15</v>
      </c>
      <c r="K113" s="10">
        <f t="shared" si="6"/>
        <v>13680.61</v>
      </c>
      <c r="L113" s="10">
        <f t="shared" si="7"/>
        <v>10300.290000000001</v>
      </c>
      <c r="M113" s="11">
        <f t="shared" si="8"/>
        <v>0.41257269887046388</v>
      </c>
      <c r="N113" s="8" t="str">
        <f t="shared" si="9"/>
        <v>March</v>
      </c>
      <c r="O113" s="8" t="str">
        <f t="shared" si="10"/>
        <v>Q1</v>
      </c>
      <c r="P113" s="8" t="str">
        <f t="shared" si="11"/>
        <v>2025</v>
      </c>
    </row>
    <row r="114" spans="1:16" x14ac:dyDescent="0.25">
      <c r="A114" s="9" t="s">
        <v>177</v>
      </c>
      <c r="B114" s="8" t="s">
        <v>16</v>
      </c>
      <c r="C114" s="8" t="s">
        <v>17</v>
      </c>
      <c r="D114" s="8" t="s">
        <v>22</v>
      </c>
      <c r="E114" s="8" t="s">
        <v>14</v>
      </c>
      <c r="F114" s="10">
        <v>26826</v>
      </c>
      <c r="G114" s="10">
        <v>18541.86</v>
      </c>
      <c r="H114" s="10">
        <v>4096.51</v>
      </c>
      <c r="I114" s="8">
        <v>86</v>
      </c>
      <c r="J114" s="11">
        <v>0.15</v>
      </c>
      <c r="K114" s="10">
        <f t="shared" si="6"/>
        <v>8284.14</v>
      </c>
      <c r="L114" s="10">
        <f t="shared" si="7"/>
        <v>4187.6299999999992</v>
      </c>
      <c r="M114" s="11">
        <f t="shared" si="8"/>
        <v>0.15610340714232457</v>
      </c>
      <c r="N114" s="8" t="str">
        <f t="shared" si="9"/>
        <v>March</v>
      </c>
      <c r="O114" s="8" t="str">
        <f t="shared" si="10"/>
        <v>Q1</v>
      </c>
      <c r="P114" s="8" t="str">
        <f t="shared" si="11"/>
        <v>2025</v>
      </c>
    </row>
    <row r="115" spans="1:16" x14ac:dyDescent="0.25">
      <c r="A115" s="9" t="s">
        <v>177</v>
      </c>
      <c r="B115" s="8" t="s">
        <v>21</v>
      </c>
      <c r="C115" s="8" t="s">
        <v>17</v>
      </c>
      <c r="D115" s="8" t="s">
        <v>18</v>
      </c>
      <c r="E115" s="8" t="s">
        <v>19</v>
      </c>
      <c r="F115" s="10">
        <v>5339</v>
      </c>
      <c r="G115" s="10">
        <v>3947.42</v>
      </c>
      <c r="H115" s="10">
        <v>1158.07</v>
      </c>
      <c r="I115" s="8">
        <v>90</v>
      </c>
      <c r="J115" s="11">
        <v>0.1</v>
      </c>
      <c r="K115" s="10">
        <f t="shared" si="6"/>
        <v>1391.58</v>
      </c>
      <c r="L115" s="10">
        <f t="shared" si="7"/>
        <v>233.51</v>
      </c>
      <c r="M115" s="11">
        <f t="shared" si="8"/>
        <v>4.3736654804270463E-2</v>
      </c>
      <c r="N115" s="8" t="str">
        <f t="shared" si="9"/>
        <v>March</v>
      </c>
      <c r="O115" s="8" t="str">
        <f t="shared" si="10"/>
        <v>Q1</v>
      </c>
      <c r="P115" s="8" t="str">
        <f t="shared" si="11"/>
        <v>2025</v>
      </c>
    </row>
    <row r="116" spans="1:16" x14ac:dyDescent="0.25">
      <c r="A116" s="9" t="s">
        <v>177</v>
      </c>
      <c r="B116" s="8" t="s">
        <v>16</v>
      </c>
      <c r="C116" s="8" t="s">
        <v>12</v>
      </c>
      <c r="D116" s="8" t="s">
        <v>13</v>
      </c>
      <c r="E116" s="8" t="s">
        <v>19</v>
      </c>
      <c r="F116" s="10">
        <v>42670</v>
      </c>
      <c r="G116" s="10">
        <v>24113.37</v>
      </c>
      <c r="H116" s="10">
        <v>4523.26</v>
      </c>
      <c r="I116" s="8">
        <v>335</v>
      </c>
      <c r="J116" s="11">
        <v>0.15</v>
      </c>
      <c r="K116" s="10">
        <f t="shared" si="6"/>
        <v>18556.63</v>
      </c>
      <c r="L116" s="10">
        <f t="shared" si="7"/>
        <v>14033.37</v>
      </c>
      <c r="M116" s="11">
        <f t="shared" si="8"/>
        <v>0.32888141551441297</v>
      </c>
      <c r="N116" s="8" t="str">
        <f t="shared" si="9"/>
        <v>March</v>
      </c>
      <c r="O116" s="8" t="str">
        <f t="shared" si="10"/>
        <v>Q1</v>
      </c>
      <c r="P116" s="8" t="str">
        <f t="shared" si="11"/>
        <v>2025</v>
      </c>
    </row>
    <row r="117" spans="1:16" x14ac:dyDescent="0.25">
      <c r="A117" s="9" t="s">
        <v>213</v>
      </c>
      <c r="B117" s="8" t="s">
        <v>11</v>
      </c>
      <c r="C117" s="8" t="s">
        <v>17</v>
      </c>
      <c r="D117" s="8" t="s">
        <v>18</v>
      </c>
      <c r="E117" s="8" t="s">
        <v>14</v>
      </c>
      <c r="F117" s="10">
        <v>17261</v>
      </c>
      <c r="G117" s="10">
        <v>9396.44</v>
      </c>
      <c r="H117" s="10">
        <v>2470.7399999999998</v>
      </c>
      <c r="I117" s="8">
        <v>37</v>
      </c>
      <c r="J117" s="11">
        <v>0.05</v>
      </c>
      <c r="K117" s="10">
        <f t="shared" si="6"/>
        <v>7864.5599999999995</v>
      </c>
      <c r="L117" s="10">
        <f t="shared" si="7"/>
        <v>5393.82</v>
      </c>
      <c r="M117" s="11">
        <f t="shared" si="8"/>
        <v>0.31248595098777587</v>
      </c>
      <c r="N117" s="8" t="str">
        <f t="shared" si="9"/>
        <v>March</v>
      </c>
      <c r="O117" s="8" t="str">
        <f t="shared" si="10"/>
        <v>Q1</v>
      </c>
      <c r="P117" s="8" t="str">
        <f t="shared" si="11"/>
        <v>2025</v>
      </c>
    </row>
    <row r="118" spans="1:16" x14ac:dyDescent="0.25">
      <c r="A118" s="9" t="s">
        <v>213</v>
      </c>
      <c r="B118" s="8" t="s">
        <v>11</v>
      </c>
      <c r="C118" s="8" t="s">
        <v>12</v>
      </c>
      <c r="D118" s="8" t="s">
        <v>27</v>
      </c>
      <c r="E118" s="8" t="s">
        <v>25</v>
      </c>
      <c r="F118" s="10">
        <v>40298</v>
      </c>
      <c r="G118" s="10">
        <v>20508.84</v>
      </c>
      <c r="H118" s="10">
        <v>7362.29</v>
      </c>
      <c r="I118" s="8">
        <v>330</v>
      </c>
      <c r="J118" s="11">
        <v>0</v>
      </c>
      <c r="K118" s="10">
        <f t="shared" si="6"/>
        <v>19789.16</v>
      </c>
      <c r="L118" s="10">
        <f t="shared" si="7"/>
        <v>12426.869999999999</v>
      </c>
      <c r="M118" s="11">
        <f t="shared" si="8"/>
        <v>0.30837436101047194</v>
      </c>
      <c r="N118" s="8" t="str">
        <f t="shared" si="9"/>
        <v>March</v>
      </c>
      <c r="O118" s="8" t="str">
        <f t="shared" si="10"/>
        <v>Q1</v>
      </c>
      <c r="P118" s="8" t="str">
        <f t="shared" si="11"/>
        <v>2025</v>
      </c>
    </row>
    <row r="119" spans="1:16" x14ac:dyDescent="0.25">
      <c r="A119" s="9" t="s">
        <v>170</v>
      </c>
      <c r="B119" s="8" t="s">
        <v>21</v>
      </c>
      <c r="C119" s="8" t="s">
        <v>12</v>
      </c>
      <c r="D119" s="8" t="s">
        <v>18</v>
      </c>
      <c r="E119" s="8" t="s">
        <v>19</v>
      </c>
      <c r="F119" s="10">
        <v>11344</v>
      </c>
      <c r="G119" s="10">
        <v>5277.02</v>
      </c>
      <c r="H119" s="10">
        <v>2408.94</v>
      </c>
      <c r="I119" s="8">
        <v>452</v>
      </c>
      <c r="J119" s="11">
        <v>0.15</v>
      </c>
      <c r="K119" s="10">
        <f t="shared" si="6"/>
        <v>6066.98</v>
      </c>
      <c r="L119" s="10">
        <f t="shared" si="7"/>
        <v>3658.0399999999995</v>
      </c>
      <c r="M119" s="11">
        <f t="shared" si="8"/>
        <v>0.32246473906911138</v>
      </c>
      <c r="N119" s="8" t="str">
        <f t="shared" si="9"/>
        <v>March</v>
      </c>
      <c r="O119" s="8" t="str">
        <f t="shared" si="10"/>
        <v>Q1</v>
      </c>
      <c r="P119" s="8" t="str">
        <f t="shared" si="11"/>
        <v>2025</v>
      </c>
    </row>
    <row r="120" spans="1:16" x14ac:dyDescent="0.25">
      <c r="A120" s="9" t="s">
        <v>107</v>
      </c>
      <c r="B120" s="8" t="s">
        <v>24</v>
      </c>
      <c r="C120" s="8" t="s">
        <v>17</v>
      </c>
      <c r="D120" s="8" t="s">
        <v>13</v>
      </c>
      <c r="E120" s="8" t="s">
        <v>25</v>
      </c>
      <c r="F120" s="10">
        <v>31868</v>
      </c>
      <c r="G120" s="10">
        <v>22667.07</v>
      </c>
      <c r="H120" s="10">
        <v>6876.92</v>
      </c>
      <c r="I120" s="8">
        <v>48</v>
      </c>
      <c r="J120" s="11">
        <v>0.1</v>
      </c>
      <c r="K120" s="10">
        <f t="shared" si="6"/>
        <v>9200.93</v>
      </c>
      <c r="L120" s="10">
        <f t="shared" si="7"/>
        <v>2324.0100000000002</v>
      </c>
      <c r="M120" s="11">
        <f t="shared" si="8"/>
        <v>7.2926132797790894E-2</v>
      </c>
      <c r="N120" s="8" t="str">
        <f t="shared" si="9"/>
        <v>March</v>
      </c>
      <c r="O120" s="8" t="str">
        <f t="shared" si="10"/>
        <v>Q1</v>
      </c>
      <c r="P120" s="8" t="str">
        <f t="shared" si="11"/>
        <v>2025</v>
      </c>
    </row>
    <row r="121" spans="1:16" x14ac:dyDescent="0.25">
      <c r="A121" s="9" t="s">
        <v>110</v>
      </c>
      <c r="B121" s="8" t="s">
        <v>16</v>
      </c>
      <c r="C121" s="8" t="s">
        <v>12</v>
      </c>
      <c r="D121" s="8" t="s">
        <v>27</v>
      </c>
      <c r="E121" s="8" t="s">
        <v>25</v>
      </c>
      <c r="F121" s="10">
        <v>21003</v>
      </c>
      <c r="G121" s="10">
        <v>12798.18</v>
      </c>
      <c r="H121" s="10">
        <v>3344.31</v>
      </c>
      <c r="I121" s="8">
        <v>415</v>
      </c>
      <c r="J121" s="11">
        <v>0.02</v>
      </c>
      <c r="K121" s="10">
        <f t="shared" si="6"/>
        <v>8204.82</v>
      </c>
      <c r="L121" s="10">
        <f t="shared" si="7"/>
        <v>4860.51</v>
      </c>
      <c r="M121" s="11">
        <f t="shared" si="8"/>
        <v>0.23141979717183261</v>
      </c>
      <c r="N121" s="8" t="str">
        <f t="shared" si="9"/>
        <v>March</v>
      </c>
      <c r="O121" s="8" t="str">
        <f t="shared" si="10"/>
        <v>Q1</v>
      </c>
      <c r="P121" s="8" t="str">
        <f t="shared" si="11"/>
        <v>2025</v>
      </c>
    </row>
    <row r="122" spans="1:16" x14ac:dyDescent="0.25">
      <c r="A122" s="9" t="s">
        <v>110</v>
      </c>
      <c r="B122" s="8" t="s">
        <v>21</v>
      </c>
      <c r="C122" s="8" t="s">
        <v>17</v>
      </c>
      <c r="D122" s="8" t="s">
        <v>13</v>
      </c>
      <c r="E122" s="8" t="s">
        <v>14</v>
      </c>
      <c r="F122" s="10">
        <v>24035</v>
      </c>
      <c r="G122" s="10">
        <v>11119.07</v>
      </c>
      <c r="H122" s="10">
        <v>5137.34</v>
      </c>
      <c r="I122" s="8">
        <v>50</v>
      </c>
      <c r="J122" s="11">
        <v>0.05</v>
      </c>
      <c r="K122" s="10">
        <f t="shared" si="6"/>
        <v>12915.93</v>
      </c>
      <c r="L122" s="10">
        <f t="shared" si="7"/>
        <v>7778.59</v>
      </c>
      <c r="M122" s="11">
        <f t="shared" si="8"/>
        <v>0.32363594757645103</v>
      </c>
      <c r="N122" s="8" t="str">
        <f t="shared" si="9"/>
        <v>March</v>
      </c>
      <c r="O122" s="8" t="str">
        <f t="shared" si="10"/>
        <v>Q1</v>
      </c>
      <c r="P122" s="8" t="str">
        <f t="shared" si="11"/>
        <v>2025</v>
      </c>
    </row>
    <row r="123" spans="1:16" x14ac:dyDescent="0.25">
      <c r="A123" s="9" t="s">
        <v>128</v>
      </c>
      <c r="B123" s="8" t="s">
        <v>24</v>
      </c>
      <c r="C123" s="8" t="s">
        <v>17</v>
      </c>
      <c r="D123" s="8" t="s">
        <v>22</v>
      </c>
      <c r="E123" s="8" t="s">
        <v>19</v>
      </c>
      <c r="F123" s="10">
        <v>9304</v>
      </c>
      <c r="G123" s="10">
        <v>4539.03</v>
      </c>
      <c r="H123" s="10">
        <v>1557.53</v>
      </c>
      <c r="I123" s="8">
        <v>309</v>
      </c>
      <c r="J123" s="11">
        <v>0.15</v>
      </c>
      <c r="K123" s="10">
        <f t="shared" si="6"/>
        <v>4764.97</v>
      </c>
      <c r="L123" s="10">
        <f t="shared" si="7"/>
        <v>3207.4400000000005</v>
      </c>
      <c r="M123" s="11">
        <f t="shared" si="8"/>
        <v>0.34473774720550304</v>
      </c>
      <c r="N123" s="8" t="str">
        <f t="shared" si="9"/>
        <v>March</v>
      </c>
      <c r="O123" s="8" t="str">
        <f t="shared" si="10"/>
        <v>Q1</v>
      </c>
      <c r="P123" s="8" t="str">
        <f t="shared" si="11"/>
        <v>2025</v>
      </c>
    </row>
    <row r="124" spans="1:16" x14ac:dyDescent="0.25">
      <c r="A124" s="9" t="s">
        <v>128</v>
      </c>
      <c r="B124" s="8" t="s">
        <v>11</v>
      </c>
      <c r="C124" s="8" t="s">
        <v>12</v>
      </c>
      <c r="D124" s="8" t="s">
        <v>22</v>
      </c>
      <c r="E124" s="8" t="s">
        <v>25</v>
      </c>
      <c r="F124" s="10">
        <v>42132</v>
      </c>
      <c r="G124" s="10">
        <v>26390.65</v>
      </c>
      <c r="H124" s="10">
        <v>7843.83</v>
      </c>
      <c r="I124" s="8">
        <v>491</v>
      </c>
      <c r="J124" s="11">
        <v>0</v>
      </c>
      <c r="K124" s="10">
        <f t="shared" si="6"/>
        <v>15741.349999999999</v>
      </c>
      <c r="L124" s="10">
        <f t="shared" si="7"/>
        <v>7897.5199999999986</v>
      </c>
      <c r="M124" s="11">
        <f t="shared" si="8"/>
        <v>0.18744707110984521</v>
      </c>
      <c r="N124" s="8" t="str">
        <f t="shared" si="9"/>
        <v>March</v>
      </c>
      <c r="O124" s="8" t="str">
        <f t="shared" si="10"/>
        <v>Q1</v>
      </c>
      <c r="P124" s="8" t="str">
        <f t="shared" si="11"/>
        <v>2025</v>
      </c>
    </row>
    <row r="125" spans="1:16" x14ac:dyDescent="0.25">
      <c r="A125" s="9" t="s">
        <v>151</v>
      </c>
      <c r="B125" s="8" t="s">
        <v>24</v>
      </c>
      <c r="C125" s="8" t="s">
        <v>12</v>
      </c>
      <c r="D125" s="8" t="s">
        <v>22</v>
      </c>
      <c r="E125" s="8" t="s">
        <v>14</v>
      </c>
      <c r="F125" s="10">
        <v>40966</v>
      </c>
      <c r="G125" s="10">
        <v>29989.89</v>
      </c>
      <c r="H125" s="10">
        <v>6769.35</v>
      </c>
      <c r="I125" s="8">
        <v>226</v>
      </c>
      <c r="J125" s="11">
        <v>0</v>
      </c>
      <c r="K125" s="10">
        <f t="shared" si="6"/>
        <v>10976.11</v>
      </c>
      <c r="L125" s="10">
        <f t="shared" si="7"/>
        <v>4206.76</v>
      </c>
      <c r="M125" s="11">
        <f t="shared" si="8"/>
        <v>0.10268905921984085</v>
      </c>
      <c r="N125" s="8" t="str">
        <f t="shared" si="9"/>
        <v>March</v>
      </c>
      <c r="O125" s="8" t="str">
        <f t="shared" si="10"/>
        <v>Q1</v>
      </c>
      <c r="P125" s="8" t="str">
        <f t="shared" si="11"/>
        <v>2025</v>
      </c>
    </row>
    <row r="126" spans="1:16" x14ac:dyDescent="0.25">
      <c r="A126" s="9" t="s">
        <v>264</v>
      </c>
      <c r="B126" s="8" t="s">
        <v>24</v>
      </c>
      <c r="C126" s="8" t="s">
        <v>17</v>
      </c>
      <c r="D126" s="8" t="s">
        <v>22</v>
      </c>
      <c r="E126" s="8" t="s">
        <v>14</v>
      </c>
      <c r="F126" s="10">
        <v>7617</v>
      </c>
      <c r="G126" s="10">
        <v>3778.88</v>
      </c>
      <c r="H126" s="10">
        <v>953.41</v>
      </c>
      <c r="I126" s="8">
        <v>36</v>
      </c>
      <c r="J126" s="11">
        <v>0.15</v>
      </c>
      <c r="K126" s="10">
        <f t="shared" si="6"/>
        <v>3838.12</v>
      </c>
      <c r="L126" s="10">
        <f t="shared" si="7"/>
        <v>2884.71</v>
      </c>
      <c r="M126" s="11">
        <f t="shared" si="8"/>
        <v>0.37871996849153211</v>
      </c>
      <c r="N126" s="8" t="str">
        <f t="shared" si="9"/>
        <v>March</v>
      </c>
      <c r="O126" s="8" t="str">
        <f t="shared" si="10"/>
        <v>Q1</v>
      </c>
      <c r="P126" s="8" t="str">
        <f t="shared" si="11"/>
        <v>2025</v>
      </c>
    </row>
    <row r="127" spans="1:16" x14ac:dyDescent="0.25">
      <c r="A127" s="9" t="s">
        <v>162</v>
      </c>
      <c r="B127" s="8" t="s">
        <v>16</v>
      </c>
      <c r="C127" s="8" t="s">
        <v>12</v>
      </c>
      <c r="D127" s="8" t="s">
        <v>18</v>
      </c>
      <c r="E127" s="8" t="s">
        <v>19</v>
      </c>
      <c r="F127" s="10">
        <v>46792</v>
      </c>
      <c r="G127" s="10">
        <v>23500.22</v>
      </c>
      <c r="H127" s="10">
        <v>6111.45</v>
      </c>
      <c r="I127" s="8">
        <v>124</v>
      </c>
      <c r="J127" s="11">
        <v>0</v>
      </c>
      <c r="K127" s="10">
        <f t="shared" si="6"/>
        <v>23291.78</v>
      </c>
      <c r="L127" s="10">
        <f t="shared" si="7"/>
        <v>17180.329999999998</v>
      </c>
      <c r="M127" s="11">
        <f t="shared" si="8"/>
        <v>0.36716383142417502</v>
      </c>
      <c r="N127" s="8" t="str">
        <f t="shared" si="9"/>
        <v>March</v>
      </c>
      <c r="O127" s="8" t="str">
        <f t="shared" si="10"/>
        <v>Q1</v>
      </c>
      <c r="P127" s="8" t="str">
        <f t="shared" si="11"/>
        <v>2025</v>
      </c>
    </row>
    <row r="128" spans="1:16" x14ac:dyDescent="0.25">
      <c r="A128" s="9" t="s">
        <v>162</v>
      </c>
      <c r="B128" s="8" t="s">
        <v>11</v>
      </c>
      <c r="C128" s="8" t="s">
        <v>17</v>
      </c>
      <c r="D128" s="8" t="s">
        <v>22</v>
      </c>
      <c r="E128" s="8" t="s">
        <v>14</v>
      </c>
      <c r="F128" s="10">
        <v>38132</v>
      </c>
      <c r="G128" s="10">
        <v>26869.85</v>
      </c>
      <c r="H128" s="10">
        <v>7598.26</v>
      </c>
      <c r="I128" s="8">
        <v>455</v>
      </c>
      <c r="J128" s="11">
        <v>0.02</v>
      </c>
      <c r="K128" s="10">
        <f t="shared" si="6"/>
        <v>11262.150000000001</v>
      </c>
      <c r="L128" s="10">
        <f t="shared" si="7"/>
        <v>3663.8900000000012</v>
      </c>
      <c r="M128" s="11">
        <f t="shared" si="8"/>
        <v>9.6084391062624605E-2</v>
      </c>
      <c r="N128" s="8" t="str">
        <f t="shared" si="9"/>
        <v>March</v>
      </c>
      <c r="O128" s="8" t="str">
        <f t="shared" si="10"/>
        <v>Q1</v>
      </c>
      <c r="P128" s="8" t="str">
        <f t="shared" si="11"/>
        <v>2025</v>
      </c>
    </row>
    <row r="129" spans="1:16" x14ac:dyDescent="0.25">
      <c r="A129" s="9" t="s">
        <v>247</v>
      </c>
      <c r="B129" s="8" t="s">
        <v>11</v>
      </c>
      <c r="C129" s="8" t="s">
        <v>12</v>
      </c>
      <c r="D129" s="8" t="s">
        <v>18</v>
      </c>
      <c r="E129" s="8" t="s">
        <v>14</v>
      </c>
      <c r="F129" s="10">
        <v>9300</v>
      </c>
      <c r="G129" s="10">
        <v>5053.03</v>
      </c>
      <c r="H129" s="10">
        <v>1403.85</v>
      </c>
      <c r="I129" s="8">
        <v>79</v>
      </c>
      <c r="J129" s="11">
        <v>0.15</v>
      </c>
      <c r="K129" s="10">
        <f t="shared" si="6"/>
        <v>4246.97</v>
      </c>
      <c r="L129" s="10">
        <f t="shared" si="7"/>
        <v>2843.1200000000003</v>
      </c>
      <c r="M129" s="11">
        <f t="shared" si="8"/>
        <v>0.30571182795698926</v>
      </c>
      <c r="N129" s="8" t="str">
        <f t="shared" si="9"/>
        <v>March</v>
      </c>
      <c r="O129" s="8" t="str">
        <f t="shared" si="10"/>
        <v>Q1</v>
      </c>
      <c r="P129" s="8" t="str">
        <f t="shared" si="11"/>
        <v>2025</v>
      </c>
    </row>
    <row r="130" spans="1:16" x14ac:dyDescent="0.25">
      <c r="A130" s="9" t="s">
        <v>258</v>
      </c>
      <c r="B130" s="8" t="s">
        <v>24</v>
      </c>
      <c r="C130" s="8" t="s">
        <v>12</v>
      </c>
      <c r="D130" s="8" t="s">
        <v>27</v>
      </c>
      <c r="E130" s="8" t="s">
        <v>14</v>
      </c>
      <c r="F130" s="10">
        <v>7582</v>
      </c>
      <c r="G130" s="10">
        <v>4658.7</v>
      </c>
      <c r="H130" s="10">
        <v>1572.89</v>
      </c>
      <c r="I130" s="8">
        <v>362</v>
      </c>
      <c r="J130" s="11">
        <v>0.1</v>
      </c>
      <c r="K130" s="10">
        <f t="shared" si="6"/>
        <v>2923.3</v>
      </c>
      <c r="L130" s="10">
        <f t="shared" si="7"/>
        <v>1350.41</v>
      </c>
      <c r="M130" s="11">
        <f t="shared" si="8"/>
        <v>0.17810735953574255</v>
      </c>
      <c r="N130" s="8" t="str">
        <f t="shared" si="9"/>
        <v>March</v>
      </c>
      <c r="O130" s="8" t="str">
        <f t="shared" si="10"/>
        <v>Q1</v>
      </c>
      <c r="P130" s="8" t="str">
        <f t="shared" si="11"/>
        <v>2025</v>
      </c>
    </row>
    <row r="131" spans="1:16" x14ac:dyDescent="0.25">
      <c r="A131" s="9" t="s">
        <v>109</v>
      </c>
      <c r="B131" s="8" t="s">
        <v>24</v>
      </c>
      <c r="C131" s="8" t="s">
        <v>17</v>
      </c>
      <c r="D131" s="8" t="s">
        <v>22</v>
      </c>
      <c r="E131" s="8" t="s">
        <v>19</v>
      </c>
      <c r="F131" s="10">
        <v>24625</v>
      </c>
      <c r="G131" s="10">
        <v>17755.3</v>
      </c>
      <c r="H131" s="10">
        <v>2128.5500000000002</v>
      </c>
      <c r="I131" s="8">
        <v>417</v>
      </c>
      <c r="J131" s="11">
        <v>0</v>
      </c>
      <c r="K131" s="10">
        <f t="shared" ref="K131:K194" si="12">F131-G131</f>
        <v>6869.7000000000007</v>
      </c>
      <c r="L131" s="10">
        <f t="shared" ref="L131:L194" si="13">F131-G131-H131</f>
        <v>4741.1500000000005</v>
      </c>
      <c r="M131" s="11">
        <f t="shared" ref="M131:M194" si="14">L131/F131</f>
        <v>0.19253401015228427</v>
      </c>
      <c r="N131" s="8" t="str">
        <f t="shared" ref="N131:N194" si="15">TEXT(A131,"MMMM")</f>
        <v>March</v>
      </c>
      <c r="O131" s="8" t="str">
        <f t="shared" ref="O131:O194" si="16">"Q"&amp;ROUNDUP(MONTH(A131)/3,0)</f>
        <v>Q1</v>
      </c>
      <c r="P131" s="8" t="str">
        <f t="shared" ref="P131:P194" si="17">TEXT(A131,"YYYY")</f>
        <v>2025</v>
      </c>
    </row>
    <row r="132" spans="1:16" x14ac:dyDescent="0.25">
      <c r="A132" s="9" t="s">
        <v>109</v>
      </c>
      <c r="B132" s="8" t="s">
        <v>21</v>
      </c>
      <c r="C132" s="8" t="s">
        <v>12</v>
      </c>
      <c r="D132" s="8" t="s">
        <v>18</v>
      </c>
      <c r="E132" s="8" t="s">
        <v>25</v>
      </c>
      <c r="F132" s="10">
        <v>18886</v>
      </c>
      <c r="G132" s="10">
        <v>13079.28</v>
      </c>
      <c r="H132" s="10">
        <v>1844.52</v>
      </c>
      <c r="I132" s="8">
        <v>226</v>
      </c>
      <c r="J132" s="11">
        <v>0</v>
      </c>
      <c r="K132" s="10">
        <f t="shared" si="12"/>
        <v>5806.7199999999993</v>
      </c>
      <c r="L132" s="10">
        <f t="shared" si="13"/>
        <v>3962.1999999999994</v>
      </c>
      <c r="M132" s="11">
        <f t="shared" si="14"/>
        <v>0.20979561580006351</v>
      </c>
      <c r="N132" s="8" t="str">
        <f t="shared" si="15"/>
        <v>March</v>
      </c>
      <c r="O132" s="8" t="str">
        <f t="shared" si="16"/>
        <v>Q1</v>
      </c>
      <c r="P132" s="8" t="str">
        <f t="shared" si="17"/>
        <v>2025</v>
      </c>
    </row>
    <row r="133" spans="1:16" x14ac:dyDescent="0.25">
      <c r="A133" s="9" t="s">
        <v>109</v>
      </c>
      <c r="B133" s="8" t="s">
        <v>11</v>
      </c>
      <c r="C133" s="8" t="s">
        <v>17</v>
      </c>
      <c r="D133" s="8" t="s">
        <v>27</v>
      </c>
      <c r="E133" s="8" t="s">
        <v>14</v>
      </c>
      <c r="F133" s="10">
        <v>21925</v>
      </c>
      <c r="G133" s="10">
        <v>15933.64</v>
      </c>
      <c r="H133" s="10">
        <v>3339.83</v>
      </c>
      <c r="I133" s="8">
        <v>217</v>
      </c>
      <c r="J133" s="11">
        <v>0.15</v>
      </c>
      <c r="K133" s="10">
        <f t="shared" si="12"/>
        <v>5991.3600000000006</v>
      </c>
      <c r="L133" s="10">
        <f t="shared" si="13"/>
        <v>2651.5300000000007</v>
      </c>
      <c r="M133" s="11">
        <f t="shared" si="14"/>
        <v>0.12093637400228054</v>
      </c>
      <c r="N133" s="8" t="str">
        <f t="shared" si="15"/>
        <v>March</v>
      </c>
      <c r="O133" s="8" t="str">
        <f t="shared" si="16"/>
        <v>Q1</v>
      </c>
      <c r="P133" s="8" t="str">
        <f t="shared" si="17"/>
        <v>2025</v>
      </c>
    </row>
    <row r="134" spans="1:16" x14ac:dyDescent="0.25">
      <c r="A134" s="9" t="s">
        <v>138</v>
      </c>
      <c r="B134" s="8" t="s">
        <v>24</v>
      </c>
      <c r="C134" s="8" t="s">
        <v>17</v>
      </c>
      <c r="D134" s="8" t="s">
        <v>18</v>
      </c>
      <c r="E134" s="8" t="s">
        <v>14</v>
      </c>
      <c r="F134" s="10">
        <v>10005</v>
      </c>
      <c r="G134" s="10">
        <v>6034.47</v>
      </c>
      <c r="H134" s="10">
        <v>960.12</v>
      </c>
      <c r="I134" s="8">
        <v>271</v>
      </c>
      <c r="J134" s="11">
        <v>0.02</v>
      </c>
      <c r="K134" s="10">
        <f t="shared" si="12"/>
        <v>3970.5299999999997</v>
      </c>
      <c r="L134" s="10">
        <f t="shared" si="13"/>
        <v>3010.41</v>
      </c>
      <c r="M134" s="11">
        <f t="shared" si="14"/>
        <v>0.30089055472263865</v>
      </c>
      <c r="N134" s="8" t="str">
        <f t="shared" si="15"/>
        <v>March</v>
      </c>
      <c r="O134" s="8" t="str">
        <f t="shared" si="16"/>
        <v>Q1</v>
      </c>
      <c r="P134" s="8" t="str">
        <f t="shared" si="17"/>
        <v>2025</v>
      </c>
    </row>
    <row r="135" spans="1:16" x14ac:dyDescent="0.25">
      <c r="A135" s="9" t="s">
        <v>138</v>
      </c>
      <c r="B135" s="8" t="s">
        <v>21</v>
      </c>
      <c r="C135" s="8" t="s">
        <v>17</v>
      </c>
      <c r="D135" s="8" t="s">
        <v>18</v>
      </c>
      <c r="E135" s="8" t="s">
        <v>19</v>
      </c>
      <c r="F135" s="10">
        <v>42610</v>
      </c>
      <c r="G135" s="10">
        <v>24711.54</v>
      </c>
      <c r="H135" s="10">
        <v>7730.32</v>
      </c>
      <c r="I135" s="8">
        <v>264</v>
      </c>
      <c r="J135" s="11">
        <v>0</v>
      </c>
      <c r="K135" s="10">
        <f t="shared" si="12"/>
        <v>17898.46</v>
      </c>
      <c r="L135" s="10">
        <f t="shared" si="13"/>
        <v>10168.14</v>
      </c>
      <c r="M135" s="11">
        <f t="shared" si="14"/>
        <v>0.23863271532504104</v>
      </c>
      <c r="N135" s="8" t="str">
        <f t="shared" si="15"/>
        <v>March</v>
      </c>
      <c r="O135" s="8" t="str">
        <f t="shared" si="16"/>
        <v>Q1</v>
      </c>
      <c r="P135" s="8" t="str">
        <f t="shared" si="17"/>
        <v>2025</v>
      </c>
    </row>
    <row r="136" spans="1:16" x14ac:dyDescent="0.25">
      <c r="A136" s="9" t="s">
        <v>233</v>
      </c>
      <c r="B136" s="8" t="s">
        <v>11</v>
      </c>
      <c r="C136" s="8" t="s">
        <v>17</v>
      </c>
      <c r="D136" s="8" t="s">
        <v>18</v>
      </c>
      <c r="E136" s="8" t="s">
        <v>25</v>
      </c>
      <c r="F136" s="10">
        <v>16540</v>
      </c>
      <c r="G136" s="10">
        <v>8616.77</v>
      </c>
      <c r="H136" s="10">
        <v>2059.5700000000002</v>
      </c>
      <c r="I136" s="8">
        <v>387</v>
      </c>
      <c r="J136" s="11">
        <v>0.05</v>
      </c>
      <c r="K136" s="10">
        <f t="shared" si="12"/>
        <v>7923.23</v>
      </c>
      <c r="L136" s="10">
        <f t="shared" si="13"/>
        <v>5863.66</v>
      </c>
      <c r="M136" s="11">
        <f t="shared" si="14"/>
        <v>0.35451390568319224</v>
      </c>
      <c r="N136" s="8" t="str">
        <f t="shared" si="15"/>
        <v>March</v>
      </c>
      <c r="O136" s="8" t="str">
        <f t="shared" si="16"/>
        <v>Q1</v>
      </c>
      <c r="P136" s="8" t="str">
        <f t="shared" si="17"/>
        <v>2025</v>
      </c>
    </row>
    <row r="137" spans="1:16" x14ac:dyDescent="0.25">
      <c r="A137" s="9" t="s">
        <v>183</v>
      </c>
      <c r="B137" s="8" t="s">
        <v>24</v>
      </c>
      <c r="C137" s="8" t="s">
        <v>12</v>
      </c>
      <c r="D137" s="8" t="s">
        <v>27</v>
      </c>
      <c r="E137" s="8" t="s">
        <v>19</v>
      </c>
      <c r="F137" s="10">
        <v>7381</v>
      </c>
      <c r="G137" s="10">
        <v>5529.49</v>
      </c>
      <c r="H137" s="10">
        <v>1000.71</v>
      </c>
      <c r="I137" s="8">
        <v>263</v>
      </c>
      <c r="J137" s="11">
        <v>0.02</v>
      </c>
      <c r="K137" s="10">
        <f t="shared" si="12"/>
        <v>1851.5100000000002</v>
      </c>
      <c r="L137" s="10">
        <f t="shared" si="13"/>
        <v>850.80000000000018</v>
      </c>
      <c r="M137" s="11">
        <f t="shared" si="14"/>
        <v>0.11526893374881454</v>
      </c>
      <c r="N137" s="8" t="str">
        <f t="shared" si="15"/>
        <v>April</v>
      </c>
      <c r="O137" s="8" t="str">
        <f t="shared" si="16"/>
        <v>Q2</v>
      </c>
      <c r="P137" s="8" t="str">
        <f t="shared" si="17"/>
        <v>2025</v>
      </c>
    </row>
    <row r="138" spans="1:16" x14ac:dyDescent="0.25">
      <c r="A138" s="9" t="s">
        <v>183</v>
      </c>
      <c r="B138" s="8" t="s">
        <v>11</v>
      </c>
      <c r="C138" s="8" t="s">
        <v>17</v>
      </c>
      <c r="D138" s="8" t="s">
        <v>27</v>
      </c>
      <c r="E138" s="8" t="s">
        <v>19</v>
      </c>
      <c r="F138" s="10">
        <v>49738</v>
      </c>
      <c r="G138" s="10">
        <v>23493.279999999999</v>
      </c>
      <c r="H138" s="10">
        <v>10681.06</v>
      </c>
      <c r="I138" s="8">
        <v>386</v>
      </c>
      <c r="J138" s="11">
        <v>0.15</v>
      </c>
      <c r="K138" s="10">
        <f t="shared" si="12"/>
        <v>26244.720000000001</v>
      </c>
      <c r="L138" s="10">
        <f t="shared" si="13"/>
        <v>15563.660000000002</v>
      </c>
      <c r="M138" s="11">
        <f t="shared" si="14"/>
        <v>0.31291286340423824</v>
      </c>
      <c r="N138" s="8" t="str">
        <f t="shared" si="15"/>
        <v>April</v>
      </c>
      <c r="O138" s="8" t="str">
        <f t="shared" si="16"/>
        <v>Q2</v>
      </c>
      <c r="P138" s="8" t="str">
        <f t="shared" si="17"/>
        <v>2025</v>
      </c>
    </row>
    <row r="139" spans="1:16" x14ac:dyDescent="0.25">
      <c r="A139" s="9" t="s">
        <v>272</v>
      </c>
      <c r="B139" s="8" t="s">
        <v>24</v>
      </c>
      <c r="C139" s="8" t="s">
        <v>12</v>
      </c>
      <c r="D139" s="8" t="s">
        <v>18</v>
      </c>
      <c r="E139" s="8" t="s">
        <v>19</v>
      </c>
      <c r="F139" s="10">
        <v>42116</v>
      </c>
      <c r="G139" s="10">
        <v>30938.98</v>
      </c>
      <c r="H139" s="10">
        <v>7257.34</v>
      </c>
      <c r="I139" s="8">
        <v>84</v>
      </c>
      <c r="J139" s="11">
        <v>0.1</v>
      </c>
      <c r="K139" s="10">
        <f t="shared" si="12"/>
        <v>11177.02</v>
      </c>
      <c r="L139" s="10">
        <f t="shared" si="13"/>
        <v>3919.6800000000003</v>
      </c>
      <c r="M139" s="11">
        <f t="shared" si="14"/>
        <v>9.3068667489790105E-2</v>
      </c>
      <c r="N139" s="8" t="str">
        <f t="shared" si="15"/>
        <v>April</v>
      </c>
      <c r="O139" s="8" t="str">
        <f t="shared" si="16"/>
        <v>Q2</v>
      </c>
      <c r="P139" s="8" t="str">
        <f t="shared" si="17"/>
        <v>2025</v>
      </c>
    </row>
    <row r="140" spans="1:16" x14ac:dyDescent="0.25">
      <c r="A140" s="9" t="s">
        <v>272</v>
      </c>
      <c r="B140" s="8" t="s">
        <v>16</v>
      </c>
      <c r="C140" s="8" t="s">
        <v>12</v>
      </c>
      <c r="D140" s="8" t="s">
        <v>13</v>
      </c>
      <c r="E140" s="8" t="s">
        <v>25</v>
      </c>
      <c r="F140" s="10">
        <v>36231</v>
      </c>
      <c r="G140" s="10">
        <v>19715.53</v>
      </c>
      <c r="H140" s="10">
        <v>4007.12</v>
      </c>
      <c r="I140" s="8">
        <v>303</v>
      </c>
      <c r="J140" s="11">
        <v>0.05</v>
      </c>
      <c r="K140" s="10">
        <f t="shared" si="12"/>
        <v>16515.47</v>
      </c>
      <c r="L140" s="10">
        <f t="shared" si="13"/>
        <v>12508.350000000002</v>
      </c>
      <c r="M140" s="11">
        <f t="shared" si="14"/>
        <v>0.3452388838287655</v>
      </c>
      <c r="N140" s="8" t="str">
        <f t="shared" si="15"/>
        <v>April</v>
      </c>
      <c r="O140" s="8" t="str">
        <f t="shared" si="16"/>
        <v>Q2</v>
      </c>
      <c r="P140" s="8" t="str">
        <f t="shared" si="17"/>
        <v>2025</v>
      </c>
    </row>
    <row r="141" spans="1:16" x14ac:dyDescent="0.25">
      <c r="A141" s="9" t="s">
        <v>144</v>
      </c>
      <c r="B141" s="8" t="s">
        <v>16</v>
      </c>
      <c r="C141" s="8" t="s">
        <v>12</v>
      </c>
      <c r="D141" s="8" t="s">
        <v>27</v>
      </c>
      <c r="E141" s="8" t="s">
        <v>19</v>
      </c>
      <c r="F141" s="10">
        <v>19037</v>
      </c>
      <c r="G141" s="10">
        <v>10518.32</v>
      </c>
      <c r="H141" s="10">
        <v>3564.9</v>
      </c>
      <c r="I141" s="8">
        <v>108</v>
      </c>
      <c r="J141" s="11">
        <v>0.02</v>
      </c>
      <c r="K141" s="10">
        <f t="shared" si="12"/>
        <v>8518.68</v>
      </c>
      <c r="L141" s="10">
        <f t="shared" si="13"/>
        <v>4953.7800000000007</v>
      </c>
      <c r="M141" s="11">
        <f t="shared" si="14"/>
        <v>0.26021852182591798</v>
      </c>
      <c r="N141" s="8" t="str">
        <f t="shared" si="15"/>
        <v>April</v>
      </c>
      <c r="O141" s="8" t="str">
        <f t="shared" si="16"/>
        <v>Q2</v>
      </c>
      <c r="P141" s="8" t="str">
        <f t="shared" si="17"/>
        <v>2025</v>
      </c>
    </row>
    <row r="142" spans="1:16" x14ac:dyDescent="0.25">
      <c r="A142" s="9" t="s">
        <v>144</v>
      </c>
      <c r="B142" s="8" t="s">
        <v>24</v>
      </c>
      <c r="C142" s="8" t="s">
        <v>17</v>
      </c>
      <c r="D142" s="8" t="s">
        <v>13</v>
      </c>
      <c r="E142" s="8" t="s">
        <v>14</v>
      </c>
      <c r="F142" s="10">
        <v>40748</v>
      </c>
      <c r="G142" s="10">
        <v>21927.72</v>
      </c>
      <c r="H142" s="10">
        <v>3845.13</v>
      </c>
      <c r="I142" s="8">
        <v>177</v>
      </c>
      <c r="J142" s="11">
        <v>0.05</v>
      </c>
      <c r="K142" s="10">
        <f t="shared" si="12"/>
        <v>18820.28</v>
      </c>
      <c r="L142" s="10">
        <f t="shared" si="13"/>
        <v>14975.149999999998</v>
      </c>
      <c r="M142" s="11">
        <f t="shared" si="14"/>
        <v>0.3675063806812604</v>
      </c>
      <c r="N142" s="8" t="str">
        <f t="shared" si="15"/>
        <v>April</v>
      </c>
      <c r="O142" s="8" t="str">
        <f t="shared" si="16"/>
        <v>Q2</v>
      </c>
      <c r="P142" s="8" t="str">
        <f t="shared" si="17"/>
        <v>2025</v>
      </c>
    </row>
    <row r="143" spans="1:16" x14ac:dyDescent="0.25">
      <c r="A143" s="9" t="s">
        <v>80</v>
      </c>
      <c r="B143" s="8" t="s">
        <v>24</v>
      </c>
      <c r="C143" s="8" t="s">
        <v>17</v>
      </c>
      <c r="D143" s="8" t="s">
        <v>22</v>
      </c>
      <c r="E143" s="8" t="s">
        <v>19</v>
      </c>
      <c r="F143" s="10">
        <v>8295</v>
      </c>
      <c r="G143" s="10">
        <v>4380.1499999999996</v>
      </c>
      <c r="H143" s="10">
        <v>1043.75</v>
      </c>
      <c r="I143" s="8">
        <v>242</v>
      </c>
      <c r="J143" s="11">
        <v>0.05</v>
      </c>
      <c r="K143" s="10">
        <f t="shared" si="12"/>
        <v>3914.8500000000004</v>
      </c>
      <c r="L143" s="10">
        <f t="shared" si="13"/>
        <v>2871.1000000000004</v>
      </c>
      <c r="M143" s="11">
        <f t="shared" si="14"/>
        <v>0.34612417118746236</v>
      </c>
      <c r="N143" s="8" t="str">
        <f t="shared" si="15"/>
        <v>April</v>
      </c>
      <c r="O143" s="8" t="str">
        <f t="shared" si="16"/>
        <v>Q2</v>
      </c>
      <c r="P143" s="8" t="str">
        <f t="shared" si="17"/>
        <v>2025</v>
      </c>
    </row>
    <row r="144" spans="1:16" x14ac:dyDescent="0.25">
      <c r="A144" s="9" t="s">
        <v>80</v>
      </c>
      <c r="B144" s="8" t="s">
        <v>21</v>
      </c>
      <c r="C144" s="8" t="s">
        <v>17</v>
      </c>
      <c r="D144" s="8" t="s">
        <v>18</v>
      </c>
      <c r="E144" s="8" t="s">
        <v>14</v>
      </c>
      <c r="F144" s="10">
        <v>12460</v>
      </c>
      <c r="G144" s="10">
        <v>7105.11</v>
      </c>
      <c r="H144" s="10">
        <v>2675.45</v>
      </c>
      <c r="I144" s="8">
        <v>149</v>
      </c>
      <c r="J144" s="11">
        <v>0.1</v>
      </c>
      <c r="K144" s="10">
        <f t="shared" si="12"/>
        <v>5354.89</v>
      </c>
      <c r="L144" s="10">
        <f t="shared" si="13"/>
        <v>2679.4400000000005</v>
      </c>
      <c r="M144" s="11">
        <f t="shared" si="14"/>
        <v>0.21504333868378817</v>
      </c>
      <c r="N144" s="8" t="str">
        <f t="shared" si="15"/>
        <v>April</v>
      </c>
      <c r="O144" s="8" t="str">
        <f t="shared" si="16"/>
        <v>Q2</v>
      </c>
      <c r="P144" s="8" t="str">
        <f t="shared" si="17"/>
        <v>2025</v>
      </c>
    </row>
    <row r="145" spans="1:16" x14ac:dyDescent="0.25">
      <c r="A145" s="9" t="s">
        <v>194</v>
      </c>
      <c r="B145" s="8" t="s">
        <v>21</v>
      </c>
      <c r="C145" s="8" t="s">
        <v>12</v>
      </c>
      <c r="D145" s="8" t="s">
        <v>13</v>
      </c>
      <c r="E145" s="8" t="s">
        <v>19</v>
      </c>
      <c r="F145" s="10">
        <v>40253</v>
      </c>
      <c r="G145" s="10">
        <v>23832.02</v>
      </c>
      <c r="H145" s="10">
        <v>8006.63</v>
      </c>
      <c r="I145" s="8">
        <v>163</v>
      </c>
      <c r="J145" s="11">
        <v>0.02</v>
      </c>
      <c r="K145" s="10">
        <f t="shared" si="12"/>
        <v>16420.98</v>
      </c>
      <c r="L145" s="10">
        <f t="shared" si="13"/>
        <v>8414.3499999999985</v>
      </c>
      <c r="M145" s="11">
        <f t="shared" si="14"/>
        <v>0.20903659354582263</v>
      </c>
      <c r="N145" s="8" t="str">
        <f t="shared" si="15"/>
        <v>April</v>
      </c>
      <c r="O145" s="8" t="str">
        <f t="shared" si="16"/>
        <v>Q2</v>
      </c>
      <c r="P145" s="8" t="str">
        <f t="shared" si="17"/>
        <v>2025</v>
      </c>
    </row>
    <row r="146" spans="1:16" x14ac:dyDescent="0.25">
      <c r="A146" s="9" t="s">
        <v>234</v>
      </c>
      <c r="B146" s="8" t="s">
        <v>11</v>
      </c>
      <c r="C146" s="8" t="s">
        <v>12</v>
      </c>
      <c r="D146" s="8" t="s">
        <v>18</v>
      </c>
      <c r="E146" s="8" t="s">
        <v>14</v>
      </c>
      <c r="F146" s="10">
        <v>37258</v>
      </c>
      <c r="G146" s="10">
        <v>22825.64</v>
      </c>
      <c r="H146" s="10">
        <v>3896.37</v>
      </c>
      <c r="I146" s="8">
        <v>29</v>
      </c>
      <c r="J146" s="11">
        <v>0</v>
      </c>
      <c r="K146" s="10">
        <f t="shared" si="12"/>
        <v>14432.36</v>
      </c>
      <c r="L146" s="10">
        <f t="shared" si="13"/>
        <v>10535.990000000002</v>
      </c>
      <c r="M146" s="11">
        <f t="shared" si="14"/>
        <v>0.28278463685651406</v>
      </c>
      <c r="N146" s="8" t="str">
        <f t="shared" si="15"/>
        <v>April</v>
      </c>
      <c r="O146" s="8" t="str">
        <f t="shared" si="16"/>
        <v>Q2</v>
      </c>
      <c r="P146" s="8" t="str">
        <f t="shared" si="17"/>
        <v>2025</v>
      </c>
    </row>
    <row r="147" spans="1:16" x14ac:dyDescent="0.25">
      <c r="A147" s="9" t="s">
        <v>42</v>
      </c>
      <c r="B147" s="8" t="s">
        <v>21</v>
      </c>
      <c r="C147" s="8" t="s">
        <v>12</v>
      </c>
      <c r="D147" s="8" t="s">
        <v>27</v>
      </c>
      <c r="E147" s="8" t="s">
        <v>14</v>
      </c>
      <c r="F147" s="10">
        <v>11181</v>
      </c>
      <c r="G147" s="10">
        <v>5356.59</v>
      </c>
      <c r="H147" s="10">
        <v>1569.22</v>
      </c>
      <c r="I147" s="8">
        <v>226</v>
      </c>
      <c r="J147" s="11">
        <v>0.1</v>
      </c>
      <c r="K147" s="10">
        <f t="shared" si="12"/>
        <v>5824.41</v>
      </c>
      <c r="L147" s="10">
        <f t="shared" si="13"/>
        <v>4255.1899999999996</v>
      </c>
      <c r="M147" s="11">
        <f t="shared" si="14"/>
        <v>0.38057329398086037</v>
      </c>
      <c r="N147" s="8" t="str">
        <f t="shared" si="15"/>
        <v>April</v>
      </c>
      <c r="O147" s="8" t="str">
        <f t="shared" si="16"/>
        <v>Q2</v>
      </c>
      <c r="P147" s="8" t="str">
        <f t="shared" si="17"/>
        <v>2025</v>
      </c>
    </row>
    <row r="148" spans="1:16" x14ac:dyDescent="0.25">
      <c r="A148" s="9" t="s">
        <v>42</v>
      </c>
      <c r="B148" s="8" t="s">
        <v>24</v>
      </c>
      <c r="C148" s="8" t="s">
        <v>17</v>
      </c>
      <c r="D148" s="8" t="s">
        <v>22</v>
      </c>
      <c r="E148" s="8" t="s">
        <v>25</v>
      </c>
      <c r="F148" s="10">
        <v>44280</v>
      </c>
      <c r="G148" s="10">
        <v>26677.47</v>
      </c>
      <c r="H148" s="10">
        <v>8993.52</v>
      </c>
      <c r="I148" s="8">
        <v>452</v>
      </c>
      <c r="J148" s="11">
        <v>0</v>
      </c>
      <c r="K148" s="10">
        <f t="shared" si="12"/>
        <v>17602.53</v>
      </c>
      <c r="L148" s="10">
        <f t="shared" si="13"/>
        <v>8609.0099999999984</v>
      </c>
      <c r="M148" s="11">
        <f t="shared" si="14"/>
        <v>0.19442208672086717</v>
      </c>
      <c r="N148" s="8" t="str">
        <f t="shared" si="15"/>
        <v>April</v>
      </c>
      <c r="O148" s="8" t="str">
        <f t="shared" si="16"/>
        <v>Q2</v>
      </c>
      <c r="P148" s="8" t="str">
        <f t="shared" si="17"/>
        <v>2025</v>
      </c>
    </row>
    <row r="149" spans="1:16" x14ac:dyDescent="0.25">
      <c r="A149" s="9" t="s">
        <v>185</v>
      </c>
      <c r="B149" s="8" t="s">
        <v>16</v>
      </c>
      <c r="C149" s="8" t="s">
        <v>12</v>
      </c>
      <c r="D149" s="8" t="s">
        <v>22</v>
      </c>
      <c r="E149" s="8" t="s">
        <v>19</v>
      </c>
      <c r="F149" s="10">
        <v>12382</v>
      </c>
      <c r="G149" s="10">
        <v>6800.26</v>
      </c>
      <c r="H149" s="10">
        <v>2257.94</v>
      </c>
      <c r="I149" s="8">
        <v>341</v>
      </c>
      <c r="J149" s="11">
        <v>0.05</v>
      </c>
      <c r="K149" s="10">
        <f t="shared" si="12"/>
        <v>5581.74</v>
      </c>
      <c r="L149" s="10">
        <f t="shared" si="13"/>
        <v>3323.7999999999997</v>
      </c>
      <c r="M149" s="11">
        <f t="shared" si="14"/>
        <v>0.26843805524147957</v>
      </c>
      <c r="N149" s="8" t="str">
        <f t="shared" si="15"/>
        <v>April</v>
      </c>
      <c r="O149" s="8" t="str">
        <f t="shared" si="16"/>
        <v>Q2</v>
      </c>
      <c r="P149" s="8" t="str">
        <f t="shared" si="17"/>
        <v>2025</v>
      </c>
    </row>
    <row r="150" spans="1:16" x14ac:dyDescent="0.25">
      <c r="A150" s="9" t="s">
        <v>92</v>
      </c>
      <c r="B150" s="8" t="s">
        <v>16</v>
      </c>
      <c r="C150" s="8" t="s">
        <v>17</v>
      </c>
      <c r="D150" s="8" t="s">
        <v>27</v>
      </c>
      <c r="E150" s="8" t="s">
        <v>14</v>
      </c>
      <c r="F150" s="10">
        <v>24414</v>
      </c>
      <c r="G150" s="10">
        <v>12652.43</v>
      </c>
      <c r="H150" s="10">
        <v>2566.44</v>
      </c>
      <c r="I150" s="8">
        <v>17</v>
      </c>
      <c r="J150" s="11">
        <v>0.15</v>
      </c>
      <c r="K150" s="10">
        <f t="shared" si="12"/>
        <v>11761.57</v>
      </c>
      <c r="L150" s="10">
        <f t="shared" si="13"/>
        <v>9195.1299999999992</v>
      </c>
      <c r="M150" s="11">
        <f t="shared" si="14"/>
        <v>0.37663348898173177</v>
      </c>
      <c r="N150" s="8" t="str">
        <f t="shared" si="15"/>
        <v>April</v>
      </c>
      <c r="O150" s="8" t="str">
        <f t="shared" si="16"/>
        <v>Q2</v>
      </c>
      <c r="P150" s="8" t="str">
        <f t="shared" si="17"/>
        <v>2025</v>
      </c>
    </row>
    <row r="151" spans="1:16" x14ac:dyDescent="0.25">
      <c r="A151" s="9" t="s">
        <v>92</v>
      </c>
      <c r="B151" s="8" t="s">
        <v>21</v>
      </c>
      <c r="C151" s="8" t="s">
        <v>12</v>
      </c>
      <c r="D151" s="8" t="s">
        <v>27</v>
      </c>
      <c r="E151" s="8" t="s">
        <v>25</v>
      </c>
      <c r="F151" s="10">
        <v>34803</v>
      </c>
      <c r="G151" s="10">
        <v>25368.400000000001</v>
      </c>
      <c r="H151" s="10">
        <v>5585.43</v>
      </c>
      <c r="I151" s="8">
        <v>143</v>
      </c>
      <c r="J151" s="11">
        <v>0.02</v>
      </c>
      <c r="K151" s="10">
        <f t="shared" si="12"/>
        <v>9434.5999999999985</v>
      </c>
      <c r="L151" s="10">
        <f t="shared" si="13"/>
        <v>3849.1699999999983</v>
      </c>
      <c r="M151" s="11">
        <f t="shared" si="14"/>
        <v>0.11059879895411311</v>
      </c>
      <c r="N151" s="8" t="str">
        <f t="shared" si="15"/>
        <v>April</v>
      </c>
      <c r="O151" s="8" t="str">
        <f t="shared" si="16"/>
        <v>Q2</v>
      </c>
      <c r="P151" s="8" t="str">
        <f t="shared" si="17"/>
        <v>2025</v>
      </c>
    </row>
    <row r="152" spans="1:16" x14ac:dyDescent="0.25">
      <c r="A152" s="9" t="s">
        <v>231</v>
      </c>
      <c r="B152" s="8" t="s">
        <v>11</v>
      </c>
      <c r="C152" s="8" t="s">
        <v>12</v>
      </c>
      <c r="D152" s="8" t="s">
        <v>13</v>
      </c>
      <c r="E152" s="8" t="s">
        <v>14</v>
      </c>
      <c r="F152" s="10">
        <v>47335</v>
      </c>
      <c r="G152" s="10">
        <v>27597.7</v>
      </c>
      <c r="H152" s="10">
        <v>4640.29</v>
      </c>
      <c r="I152" s="8">
        <v>473</v>
      </c>
      <c r="J152" s="11">
        <v>0.05</v>
      </c>
      <c r="K152" s="10">
        <f t="shared" si="12"/>
        <v>19737.3</v>
      </c>
      <c r="L152" s="10">
        <f t="shared" si="13"/>
        <v>15097.009999999998</v>
      </c>
      <c r="M152" s="11">
        <f t="shared" si="14"/>
        <v>0.31893968522235128</v>
      </c>
      <c r="N152" s="8" t="str">
        <f t="shared" si="15"/>
        <v>April</v>
      </c>
      <c r="O152" s="8" t="str">
        <f t="shared" si="16"/>
        <v>Q2</v>
      </c>
      <c r="P152" s="8" t="str">
        <f t="shared" si="17"/>
        <v>2025</v>
      </c>
    </row>
    <row r="153" spans="1:16" x14ac:dyDescent="0.25">
      <c r="A153" s="9" t="s">
        <v>148</v>
      </c>
      <c r="B153" s="8" t="s">
        <v>24</v>
      </c>
      <c r="C153" s="8" t="s">
        <v>12</v>
      </c>
      <c r="D153" s="8" t="s">
        <v>27</v>
      </c>
      <c r="E153" s="8" t="s">
        <v>19</v>
      </c>
      <c r="F153" s="10">
        <v>44627</v>
      </c>
      <c r="G153" s="10">
        <v>21935.040000000001</v>
      </c>
      <c r="H153" s="10">
        <v>5132.13</v>
      </c>
      <c r="I153" s="8">
        <v>338</v>
      </c>
      <c r="J153" s="11">
        <v>0.1</v>
      </c>
      <c r="K153" s="10">
        <f t="shared" si="12"/>
        <v>22691.96</v>
      </c>
      <c r="L153" s="10">
        <f t="shared" si="13"/>
        <v>17559.829999999998</v>
      </c>
      <c r="M153" s="11">
        <f t="shared" si="14"/>
        <v>0.39347995608039971</v>
      </c>
      <c r="N153" s="8" t="str">
        <f t="shared" si="15"/>
        <v>April</v>
      </c>
      <c r="O153" s="8" t="str">
        <f t="shared" si="16"/>
        <v>Q2</v>
      </c>
      <c r="P153" s="8" t="str">
        <f t="shared" si="17"/>
        <v>2025</v>
      </c>
    </row>
    <row r="154" spans="1:16" x14ac:dyDescent="0.25">
      <c r="A154" s="9" t="s">
        <v>148</v>
      </c>
      <c r="B154" s="8" t="s">
        <v>16</v>
      </c>
      <c r="C154" s="8" t="s">
        <v>12</v>
      </c>
      <c r="D154" s="8" t="s">
        <v>22</v>
      </c>
      <c r="E154" s="8" t="s">
        <v>14</v>
      </c>
      <c r="F154" s="10">
        <v>20391</v>
      </c>
      <c r="G154" s="10">
        <v>13674.79</v>
      </c>
      <c r="H154" s="10">
        <v>4122.7299999999996</v>
      </c>
      <c r="I154" s="8">
        <v>115</v>
      </c>
      <c r="J154" s="11">
        <v>0.02</v>
      </c>
      <c r="K154" s="10">
        <f t="shared" si="12"/>
        <v>6716.2099999999991</v>
      </c>
      <c r="L154" s="10">
        <f t="shared" si="13"/>
        <v>2593.4799999999996</v>
      </c>
      <c r="M154" s="11">
        <f t="shared" si="14"/>
        <v>0.12718748467461133</v>
      </c>
      <c r="N154" s="8" t="str">
        <f t="shared" si="15"/>
        <v>April</v>
      </c>
      <c r="O154" s="8" t="str">
        <f t="shared" si="16"/>
        <v>Q2</v>
      </c>
      <c r="P154" s="8" t="str">
        <f t="shared" si="17"/>
        <v>2025</v>
      </c>
    </row>
    <row r="155" spans="1:16" x14ac:dyDescent="0.25">
      <c r="A155" s="9" t="s">
        <v>181</v>
      </c>
      <c r="B155" s="8" t="s">
        <v>11</v>
      </c>
      <c r="C155" s="8" t="s">
        <v>12</v>
      </c>
      <c r="D155" s="8" t="s">
        <v>18</v>
      </c>
      <c r="E155" s="8" t="s">
        <v>14</v>
      </c>
      <c r="F155" s="10">
        <v>40296</v>
      </c>
      <c r="G155" s="10">
        <v>21410.87</v>
      </c>
      <c r="H155" s="10">
        <v>6394.27</v>
      </c>
      <c r="I155" s="8">
        <v>149</v>
      </c>
      <c r="J155" s="11">
        <v>0.02</v>
      </c>
      <c r="K155" s="10">
        <f t="shared" si="12"/>
        <v>18885.13</v>
      </c>
      <c r="L155" s="10">
        <f t="shared" si="13"/>
        <v>12490.86</v>
      </c>
      <c r="M155" s="11">
        <f t="shared" si="14"/>
        <v>0.30997766527695059</v>
      </c>
      <c r="N155" s="8" t="str">
        <f t="shared" si="15"/>
        <v>April</v>
      </c>
      <c r="O155" s="8" t="str">
        <f t="shared" si="16"/>
        <v>Q2</v>
      </c>
      <c r="P155" s="8" t="str">
        <f t="shared" si="17"/>
        <v>2025</v>
      </c>
    </row>
    <row r="156" spans="1:16" x14ac:dyDescent="0.25">
      <c r="A156" s="9" t="s">
        <v>221</v>
      </c>
      <c r="B156" s="8" t="s">
        <v>24</v>
      </c>
      <c r="C156" s="8" t="s">
        <v>17</v>
      </c>
      <c r="D156" s="8" t="s">
        <v>18</v>
      </c>
      <c r="E156" s="8" t="s">
        <v>14</v>
      </c>
      <c r="F156" s="10">
        <v>15182</v>
      </c>
      <c r="G156" s="10">
        <v>9274.94</v>
      </c>
      <c r="H156" s="10">
        <v>2045.05</v>
      </c>
      <c r="I156" s="8">
        <v>334</v>
      </c>
      <c r="J156" s="11">
        <v>0</v>
      </c>
      <c r="K156" s="10">
        <f t="shared" si="12"/>
        <v>5907.0599999999995</v>
      </c>
      <c r="L156" s="10">
        <f t="shared" si="13"/>
        <v>3862.0099999999993</v>
      </c>
      <c r="M156" s="11">
        <f t="shared" si="14"/>
        <v>0.25438084573837433</v>
      </c>
      <c r="N156" s="8" t="str">
        <f t="shared" si="15"/>
        <v>April</v>
      </c>
      <c r="O156" s="8" t="str">
        <f t="shared" si="16"/>
        <v>Q2</v>
      </c>
      <c r="P156" s="8" t="str">
        <f t="shared" si="17"/>
        <v>2025</v>
      </c>
    </row>
    <row r="157" spans="1:16" x14ac:dyDescent="0.25">
      <c r="A157" s="9" t="s">
        <v>216</v>
      </c>
      <c r="B157" s="8" t="s">
        <v>16</v>
      </c>
      <c r="C157" s="8" t="s">
        <v>17</v>
      </c>
      <c r="D157" s="8" t="s">
        <v>22</v>
      </c>
      <c r="E157" s="8" t="s">
        <v>19</v>
      </c>
      <c r="F157" s="10">
        <v>8890</v>
      </c>
      <c r="G157" s="10">
        <v>5520.89</v>
      </c>
      <c r="H157" s="10">
        <v>1373.68</v>
      </c>
      <c r="I157" s="8">
        <v>315</v>
      </c>
      <c r="J157" s="11">
        <v>0.15</v>
      </c>
      <c r="K157" s="10">
        <f t="shared" si="12"/>
        <v>3369.1099999999997</v>
      </c>
      <c r="L157" s="10">
        <f t="shared" si="13"/>
        <v>1995.4299999999996</v>
      </c>
      <c r="M157" s="11">
        <f t="shared" si="14"/>
        <v>0.22445781777277835</v>
      </c>
      <c r="N157" s="8" t="str">
        <f t="shared" si="15"/>
        <v>April</v>
      </c>
      <c r="O157" s="8" t="str">
        <f t="shared" si="16"/>
        <v>Q2</v>
      </c>
      <c r="P157" s="8" t="str">
        <f t="shared" si="17"/>
        <v>2025</v>
      </c>
    </row>
    <row r="158" spans="1:16" x14ac:dyDescent="0.25">
      <c r="A158" s="9" t="s">
        <v>216</v>
      </c>
      <c r="B158" s="8" t="s">
        <v>24</v>
      </c>
      <c r="C158" s="8" t="s">
        <v>17</v>
      </c>
      <c r="D158" s="8" t="s">
        <v>22</v>
      </c>
      <c r="E158" s="8" t="s">
        <v>14</v>
      </c>
      <c r="F158" s="10">
        <v>17450</v>
      </c>
      <c r="G158" s="10">
        <v>9995.08</v>
      </c>
      <c r="H158" s="10">
        <v>2749.7</v>
      </c>
      <c r="I158" s="8">
        <v>483</v>
      </c>
      <c r="J158" s="11">
        <v>0.15</v>
      </c>
      <c r="K158" s="10">
        <f t="shared" si="12"/>
        <v>7454.92</v>
      </c>
      <c r="L158" s="10">
        <f t="shared" si="13"/>
        <v>4705.22</v>
      </c>
      <c r="M158" s="11">
        <f t="shared" si="14"/>
        <v>0.26964011461318055</v>
      </c>
      <c r="N158" s="8" t="str">
        <f t="shared" si="15"/>
        <v>April</v>
      </c>
      <c r="O158" s="8" t="str">
        <f t="shared" si="16"/>
        <v>Q2</v>
      </c>
      <c r="P158" s="8" t="str">
        <f t="shared" si="17"/>
        <v>2025</v>
      </c>
    </row>
    <row r="159" spans="1:16" x14ac:dyDescent="0.25">
      <c r="A159" s="9" t="s">
        <v>203</v>
      </c>
      <c r="B159" s="8" t="s">
        <v>11</v>
      </c>
      <c r="C159" s="8" t="s">
        <v>17</v>
      </c>
      <c r="D159" s="8" t="s">
        <v>18</v>
      </c>
      <c r="E159" s="8" t="s">
        <v>25</v>
      </c>
      <c r="F159" s="10">
        <v>43471</v>
      </c>
      <c r="G159" s="10">
        <v>21442.400000000001</v>
      </c>
      <c r="H159" s="10">
        <v>8472.35</v>
      </c>
      <c r="I159" s="8">
        <v>430</v>
      </c>
      <c r="J159" s="11">
        <v>0.1</v>
      </c>
      <c r="K159" s="10">
        <f t="shared" si="12"/>
        <v>22028.6</v>
      </c>
      <c r="L159" s="10">
        <f t="shared" si="13"/>
        <v>13556.249999999998</v>
      </c>
      <c r="M159" s="11">
        <f t="shared" si="14"/>
        <v>0.31184582825331825</v>
      </c>
      <c r="N159" s="8" t="str">
        <f t="shared" si="15"/>
        <v>April</v>
      </c>
      <c r="O159" s="8" t="str">
        <f t="shared" si="16"/>
        <v>Q2</v>
      </c>
      <c r="P159" s="8" t="str">
        <f t="shared" si="17"/>
        <v>2025</v>
      </c>
    </row>
    <row r="160" spans="1:16" x14ac:dyDescent="0.25">
      <c r="A160" s="9" t="s">
        <v>54</v>
      </c>
      <c r="B160" s="8" t="s">
        <v>21</v>
      </c>
      <c r="C160" s="8" t="s">
        <v>17</v>
      </c>
      <c r="D160" s="8" t="s">
        <v>27</v>
      </c>
      <c r="E160" s="8" t="s">
        <v>14</v>
      </c>
      <c r="F160" s="10">
        <v>27471</v>
      </c>
      <c r="G160" s="10">
        <v>14039.86</v>
      </c>
      <c r="H160" s="10">
        <v>4636.92</v>
      </c>
      <c r="I160" s="8">
        <v>145</v>
      </c>
      <c r="J160" s="11">
        <v>0.15</v>
      </c>
      <c r="K160" s="10">
        <f t="shared" si="12"/>
        <v>13431.14</v>
      </c>
      <c r="L160" s="10">
        <f t="shared" si="13"/>
        <v>8794.2199999999993</v>
      </c>
      <c r="M160" s="11">
        <f t="shared" si="14"/>
        <v>0.32012740708383386</v>
      </c>
      <c r="N160" s="8" t="str">
        <f t="shared" si="15"/>
        <v>April</v>
      </c>
      <c r="O160" s="8" t="str">
        <f t="shared" si="16"/>
        <v>Q2</v>
      </c>
      <c r="P160" s="8" t="str">
        <f t="shared" si="17"/>
        <v>2025</v>
      </c>
    </row>
    <row r="161" spans="1:16" x14ac:dyDescent="0.25">
      <c r="A161" s="9" t="s">
        <v>54</v>
      </c>
      <c r="B161" s="8" t="s">
        <v>21</v>
      </c>
      <c r="C161" s="8" t="s">
        <v>12</v>
      </c>
      <c r="D161" s="8" t="s">
        <v>22</v>
      </c>
      <c r="E161" s="8" t="s">
        <v>14</v>
      </c>
      <c r="F161" s="10">
        <v>33734</v>
      </c>
      <c r="G161" s="10">
        <v>23253.040000000001</v>
      </c>
      <c r="H161" s="10">
        <v>6624.66</v>
      </c>
      <c r="I161" s="8">
        <v>45</v>
      </c>
      <c r="J161" s="11">
        <v>0.1</v>
      </c>
      <c r="K161" s="10">
        <f t="shared" si="12"/>
        <v>10480.959999999999</v>
      </c>
      <c r="L161" s="10">
        <f t="shared" si="13"/>
        <v>3856.2999999999993</v>
      </c>
      <c r="M161" s="11">
        <f t="shared" si="14"/>
        <v>0.1143149344874607</v>
      </c>
      <c r="N161" s="8" t="str">
        <f t="shared" si="15"/>
        <v>April</v>
      </c>
      <c r="O161" s="8" t="str">
        <f t="shared" si="16"/>
        <v>Q2</v>
      </c>
      <c r="P161" s="8" t="str">
        <f t="shared" si="17"/>
        <v>2025</v>
      </c>
    </row>
    <row r="162" spans="1:16" x14ac:dyDescent="0.25">
      <c r="A162" s="9" t="s">
        <v>54</v>
      </c>
      <c r="B162" s="8" t="s">
        <v>16</v>
      </c>
      <c r="C162" s="8" t="s">
        <v>17</v>
      </c>
      <c r="D162" s="8" t="s">
        <v>27</v>
      </c>
      <c r="E162" s="8" t="s">
        <v>19</v>
      </c>
      <c r="F162" s="10">
        <v>45905</v>
      </c>
      <c r="G162" s="10">
        <v>30495.4</v>
      </c>
      <c r="H162" s="10">
        <v>8085.04</v>
      </c>
      <c r="I162" s="8">
        <v>481</v>
      </c>
      <c r="J162" s="11">
        <v>0.02</v>
      </c>
      <c r="K162" s="10">
        <f t="shared" si="12"/>
        <v>15409.599999999999</v>
      </c>
      <c r="L162" s="10">
        <f t="shared" si="13"/>
        <v>7324.5599999999986</v>
      </c>
      <c r="M162" s="11">
        <f t="shared" si="14"/>
        <v>0.15955908942381</v>
      </c>
      <c r="N162" s="8" t="str">
        <f t="shared" si="15"/>
        <v>April</v>
      </c>
      <c r="O162" s="8" t="str">
        <f t="shared" si="16"/>
        <v>Q2</v>
      </c>
      <c r="P162" s="8" t="str">
        <f t="shared" si="17"/>
        <v>2025</v>
      </c>
    </row>
    <row r="163" spans="1:16" x14ac:dyDescent="0.25">
      <c r="A163" s="9" t="s">
        <v>218</v>
      </c>
      <c r="B163" s="8" t="s">
        <v>16</v>
      </c>
      <c r="C163" s="8" t="s">
        <v>12</v>
      </c>
      <c r="D163" s="8" t="s">
        <v>27</v>
      </c>
      <c r="E163" s="8" t="s">
        <v>14</v>
      </c>
      <c r="F163" s="10">
        <v>46161</v>
      </c>
      <c r="G163" s="10">
        <v>31134.7</v>
      </c>
      <c r="H163" s="10">
        <v>9637.73</v>
      </c>
      <c r="I163" s="8">
        <v>325</v>
      </c>
      <c r="J163" s="11">
        <v>0.1</v>
      </c>
      <c r="K163" s="10">
        <f t="shared" si="12"/>
        <v>15026.3</v>
      </c>
      <c r="L163" s="10">
        <f t="shared" si="13"/>
        <v>5388.57</v>
      </c>
      <c r="M163" s="11">
        <f t="shared" si="14"/>
        <v>0.1167342561902905</v>
      </c>
      <c r="N163" s="8" t="str">
        <f t="shared" si="15"/>
        <v>April</v>
      </c>
      <c r="O163" s="8" t="str">
        <f t="shared" si="16"/>
        <v>Q2</v>
      </c>
      <c r="P163" s="8" t="str">
        <f t="shared" si="17"/>
        <v>2025</v>
      </c>
    </row>
    <row r="164" spans="1:16" x14ac:dyDescent="0.25">
      <c r="A164" s="9" t="s">
        <v>218</v>
      </c>
      <c r="B164" s="8" t="s">
        <v>16</v>
      </c>
      <c r="C164" s="8" t="s">
        <v>17</v>
      </c>
      <c r="D164" s="8" t="s">
        <v>13</v>
      </c>
      <c r="E164" s="8" t="s">
        <v>19</v>
      </c>
      <c r="F164" s="10">
        <v>17265</v>
      </c>
      <c r="G164" s="10">
        <v>9193.52</v>
      </c>
      <c r="H164" s="10">
        <v>2459.25</v>
      </c>
      <c r="I164" s="8">
        <v>86</v>
      </c>
      <c r="J164" s="11">
        <v>0</v>
      </c>
      <c r="K164" s="10">
        <f t="shared" si="12"/>
        <v>8071.48</v>
      </c>
      <c r="L164" s="10">
        <f t="shared" si="13"/>
        <v>5612.23</v>
      </c>
      <c r="M164" s="11">
        <f t="shared" si="14"/>
        <v>0.32506400231682592</v>
      </c>
      <c r="N164" s="8" t="str">
        <f t="shared" si="15"/>
        <v>April</v>
      </c>
      <c r="O164" s="8" t="str">
        <f t="shared" si="16"/>
        <v>Q2</v>
      </c>
      <c r="P164" s="8" t="str">
        <f t="shared" si="17"/>
        <v>2025</v>
      </c>
    </row>
    <row r="165" spans="1:16" x14ac:dyDescent="0.25">
      <c r="A165" s="9" t="s">
        <v>218</v>
      </c>
      <c r="B165" s="8" t="s">
        <v>11</v>
      </c>
      <c r="C165" s="8" t="s">
        <v>12</v>
      </c>
      <c r="D165" s="8" t="s">
        <v>13</v>
      </c>
      <c r="E165" s="8" t="s">
        <v>25</v>
      </c>
      <c r="F165" s="10">
        <v>38314</v>
      </c>
      <c r="G165" s="10">
        <v>21845.43</v>
      </c>
      <c r="H165" s="10">
        <v>4880.49</v>
      </c>
      <c r="I165" s="8">
        <v>291</v>
      </c>
      <c r="J165" s="11">
        <v>0.15</v>
      </c>
      <c r="K165" s="10">
        <f t="shared" si="12"/>
        <v>16468.57</v>
      </c>
      <c r="L165" s="10">
        <f t="shared" si="13"/>
        <v>11588.08</v>
      </c>
      <c r="M165" s="11">
        <f t="shared" si="14"/>
        <v>0.30245027927128465</v>
      </c>
      <c r="N165" s="8" t="str">
        <f t="shared" si="15"/>
        <v>April</v>
      </c>
      <c r="O165" s="8" t="str">
        <f t="shared" si="16"/>
        <v>Q2</v>
      </c>
      <c r="P165" s="8" t="str">
        <f t="shared" si="17"/>
        <v>2025</v>
      </c>
    </row>
    <row r="166" spans="1:16" x14ac:dyDescent="0.25">
      <c r="A166" s="9" t="s">
        <v>23</v>
      </c>
      <c r="B166" s="8" t="s">
        <v>24</v>
      </c>
      <c r="C166" s="8" t="s">
        <v>12</v>
      </c>
      <c r="D166" s="8" t="s">
        <v>13</v>
      </c>
      <c r="E166" s="8" t="s">
        <v>25</v>
      </c>
      <c r="F166" s="10">
        <v>27059</v>
      </c>
      <c r="G166" s="10">
        <v>13006.26</v>
      </c>
      <c r="H166" s="10">
        <v>3603.98</v>
      </c>
      <c r="I166" s="8">
        <v>193</v>
      </c>
      <c r="J166" s="11">
        <v>0.05</v>
      </c>
      <c r="K166" s="10">
        <f t="shared" si="12"/>
        <v>14052.74</v>
      </c>
      <c r="L166" s="10">
        <f t="shared" si="13"/>
        <v>10448.76</v>
      </c>
      <c r="M166" s="11">
        <f t="shared" si="14"/>
        <v>0.38614730773494954</v>
      </c>
      <c r="N166" s="8" t="str">
        <f t="shared" si="15"/>
        <v>April</v>
      </c>
      <c r="O166" s="8" t="str">
        <f t="shared" si="16"/>
        <v>Q2</v>
      </c>
      <c r="P166" s="8" t="str">
        <f t="shared" si="17"/>
        <v>2025</v>
      </c>
    </row>
    <row r="167" spans="1:16" x14ac:dyDescent="0.25">
      <c r="A167" s="9" t="s">
        <v>47</v>
      </c>
      <c r="B167" s="8" t="s">
        <v>11</v>
      </c>
      <c r="C167" s="8" t="s">
        <v>12</v>
      </c>
      <c r="D167" s="8" t="s">
        <v>13</v>
      </c>
      <c r="E167" s="8" t="s">
        <v>25</v>
      </c>
      <c r="F167" s="10">
        <v>8832</v>
      </c>
      <c r="G167" s="10">
        <v>5509</v>
      </c>
      <c r="H167" s="10">
        <v>1376.97</v>
      </c>
      <c r="I167" s="8">
        <v>392</v>
      </c>
      <c r="J167" s="11">
        <v>0.05</v>
      </c>
      <c r="K167" s="10">
        <f t="shared" si="12"/>
        <v>3323</v>
      </c>
      <c r="L167" s="10">
        <f t="shared" si="13"/>
        <v>1946.03</v>
      </c>
      <c r="M167" s="11">
        <f t="shared" si="14"/>
        <v>0.22033854166666667</v>
      </c>
      <c r="N167" s="8" t="str">
        <f t="shared" si="15"/>
        <v>April</v>
      </c>
      <c r="O167" s="8" t="str">
        <f t="shared" si="16"/>
        <v>Q2</v>
      </c>
      <c r="P167" s="8" t="str">
        <f t="shared" si="17"/>
        <v>2025</v>
      </c>
    </row>
    <row r="168" spans="1:16" x14ac:dyDescent="0.25">
      <c r="A168" s="9" t="s">
        <v>47</v>
      </c>
      <c r="B168" s="8" t="s">
        <v>11</v>
      </c>
      <c r="C168" s="8" t="s">
        <v>12</v>
      </c>
      <c r="D168" s="8" t="s">
        <v>13</v>
      </c>
      <c r="E168" s="8" t="s">
        <v>14</v>
      </c>
      <c r="F168" s="10">
        <v>42900</v>
      </c>
      <c r="G168" s="10">
        <v>20244.89</v>
      </c>
      <c r="H168" s="10">
        <v>5976.73</v>
      </c>
      <c r="I168" s="8">
        <v>368</v>
      </c>
      <c r="J168" s="11">
        <v>0</v>
      </c>
      <c r="K168" s="10">
        <f t="shared" si="12"/>
        <v>22655.11</v>
      </c>
      <c r="L168" s="10">
        <f t="shared" si="13"/>
        <v>16678.38</v>
      </c>
      <c r="M168" s="11">
        <f t="shared" si="14"/>
        <v>0.38877342657342662</v>
      </c>
      <c r="N168" s="8" t="str">
        <f t="shared" si="15"/>
        <v>April</v>
      </c>
      <c r="O168" s="8" t="str">
        <f t="shared" si="16"/>
        <v>Q2</v>
      </c>
      <c r="P168" s="8" t="str">
        <f t="shared" si="17"/>
        <v>2025</v>
      </c>
    </row>
    <row r="169" spans="1:16" x14ac:dyDescent="0.25">
      <c r="A169" s="9" t="s">
        <v>33</v>
      </c>
      <c r="B169" s="8" t="s">
        <v>16</v>
      </c>
      <c r="C169" s="8" t="s">
        <v>12</v>
      </c>
      <c r="D169" s="8" t="s">
        <v>13</v>
      </c>
      <c r="E169" s="8" t="s">
        <v>25</v>
      </c>
      <c r="F169" s="10">
        <v>14065</v>
      </c>
      <c r="G169" s="10">
        <v>8479.2000000000007</v>
      </c>
      <c r="H169" s="10">
        <v>1304.21</v>
      </c>
      <c r="I169" s="8">
        <v>34</v>
      </c>
      <c r="J169" s="11">
        <v>0</v>
      </c>
      <c r="K169" s="10">
        <f t="shared" si="12"/>
        <v>5585.7999999999993</v>
      </c>
      <c r="L169" s="10">
        <f t="shared" si="13"/>
        <v>4281.5899999999992</v>
      </c>
      <c r="M169" s="11">
        <f t="shared" si="14"/>
        <v>0.30441450408816206</v>
      </c>
      <c r="N169" s="8" t="str">
        <f t="shared" si="15"/>
        <v>April</v>
      </c>
      <c r="O169" s="8" t="str">
        <f t="shared" si="16"/>
        <v>Q2</v>
      </c>
      <c r="P169" s="8" t="str">
        <f t="shared" si="17"/>
        <v>2025</v>
      </c>
    </row>
    <row r="170" spans="1:16" x14ac:dyDescent="0.25">
      <c r="A170" s="9" t="s">
        <v>90</v>
      </c>
      <c r="B170" s="8" t="s">
        <v>21</v>
      </c>
      <c r="C170" s="8" t="s">
        <v>17</v>
      </c>
      <c r="D170" s="8" t="s">
        <v>13</v>
      </c>
      <c r="E170" s="8" t="s">
        <v>25</v>
      </c>
      <c r="F170" s="10">
        <v>31502</v>
      </c>
      <c r="G170" s="10">
        <v>20713.7</v>
      </c>
      <c r="H170" s="10">
        <v>3870.61</v>
      </c>
      <c r="I170" s="8">
        <v>307</v>
      </c>
      <c r="J170" s="11">
        <v>0.05</v>
      </c>
      <c r="K170" s="10">
        <f t="shared" si="12"/>
        <v>10788.3</v>
      </c>
      <c r="L170" s="10">
        <f t="shared" si="13"/>
        <v>6917.6899999999987</v>
      </c>
      <c r="M170" s="11">
        <f t="shared" si="14"/>
        <v>0.21959526379277503</v>
      </c>
      <c r="N170" s="8" t="str">
        <f t="shared" si="15"/>
        <v>April</v>
      </c>
      <c r="O170" s="8" t="str">
        <f t="shared" si="16"/>
        <v>Q2</v>
      </c>
      <c r="P170" s="8" t="str">
        <f t="shared" si="17"/>
        <v>2025</v>
      </c>
    </row>
    <row r="171" spans="1:16" x14ac:dyDescent="0.25">
      <c r="A171" s="9" t="s">
        <v>90</v>
      </c>
      <c r="B171" s="8" t="s">
        <v>24</v>
      </c>
      <c r="C171" s="8" t="s">
        <v>12</v>
      </c>
      <c r="D171" s="8" t="s">
        <v>27</v>
      </c>
      <c r="E171" s="8" t="s">
        <v>14</v>
      </c>
      <c r="F171" s="10">
        <v>13566</v>
      </c>
      <c r="G171" s="10">
        <v>6911.06</v>
      </c>
      <c r="H171" s="10">
        <v>1846.08</v>
      </c>
      <c r="I171" s="8">
        <v>361</v>
      </c>
      <c r="J171" s="11">
        <v>0</v>
      </c>
      <c r="K171" s="10">
        <f t="shared" si="12"/>
        <v>6654.94</v>
      </c>
      <c r="L171" s="10">
        <f t="shared" si="13"/>
        <v>4808.8599999999997</v>
      </c>
      <c r="M171" s="11">
        <f t="shared" si="14"/>
        <v>0.35447884416924663</v>
      </c>
      <c r="N171" s="8" t="str">
        <f t="shared" si="15"/>
        <v>April</v>
      </c>
      <c r="O171" s="8" t="str">
        <f t="shared" si="16"/>
        <v>Q2</v>
      </c>
      <c r="P171" s="8" t="str">
        <f t="shared" si="17"/>
        <v>2025</v>
      </c>
    </row>
    <row r="172" spans="1:16" x14ac:dyDescent="0.25">
      <c r="A172" s="9" t="s">
        <v>61</v>
      </c>
      <c r="B172" s="8" t="s">
        <v>24</v>
      </c>
      <c r="C172" s="8" t="s">
        <v>17</v>
      </c>
      <c r="D172" s="8" t="s">
        <v>13</v>
      </c>
      <c r="E172" s="8" t="s">
        <v>25</v>
      </c>
      <c r="F172" s="10">
        <v>6550</v>
      </c>
      <c r="G172" s="10">
        <v>4244.47</v>
      </c>
      <c r="H172" s="10">
        <v>889.39</v>
      </c>
      <c r="I172" s="8">
        <v>152</v>
      </c>
      <c r="J172" s="11">
        <v>0</v>
      </c>
      <c r="K172" s="10">
        <f t="shared" si="12"/>
        <v>2305.5299999999997</v>
      </c>
      <c r="L172" s="10">
        <f t="shared" si="13"/>
        <v>1416.1399999999999</v>
      </c>
      <c r="M172" s="11">
        <f t="shared" si="14"/>
        <v>0.21620458015267174</v>
      </c>
      <c r="N172" s="8" t="str">
        <f t="shared" si="15"/>
        <v>April</v>
      </c>
      <c r="O172" s="8" t="str">
        <f t="shared" si="16"/>
        <v>Q2</v>
      </c>
      <c r="P172" s="8" t="str">
        <f t="shared" si="17"/>
        <v>2025</v>
      </c>
    </row>
    <row r="173" spans="1:16" x14ac:dyDescent="0.25">
      <c r="A173" s="9" t="s">
        <v>61</v>
      </c>
      <c r="B173" s="8" t="s">
        <v>24</v>
      </c>
      <c r="C173" s="8" t="s">
        <v>17</v>
      </c>
      <c r="D173" s="8" t="s">
        <v>27</v>
      </c>
      <c r="E173" s="8" t="s">
        <v>19</v>
      </c>
      <c r="F173" s="10">
        <v>25125</v>
      </c>
      <c r="G173" s="10">
        <v>14475.56</v>
      </c>
      <c r="H173" s="10">
        <v>5129.47</v>
      </c>
      <c r="I173" s="8">
        <v>200</v>
      </c>
      <c r="J173" s="11">
        <v>0.05</v>
      </c>
      <c r="K173" s="10">
        <f t="shared" si="12"/>
        <v>10649.44</v>
      </c>
      <c r="L173" s="10">
        <f t="shared" si="13"/>
        <v>5519.97</v>
      </c>
      <c r="M173" s="11">
        <f t="shared" si="14"/>
        <v>0.2197002985074627</v>
      </c>
      <c r="N173" s="8" t="str">
        <f t="shared" si="15"/>
        <v>April</v>
      </c>
      <c r="O173" s="8" t="str">
        <f t="shared" si="16"/>
        <v>Q2</v>
      </c>
      <c r="P173" s="8" t="str">
        <f t="shared" si="17"/>
        <v>2025</v>
      </c>
    </row>
    <row r="174" spans="1:16" x14ac:dyDescent="0.25">
      <c r="A174" s="9" t="s">
        <v>274</v>
      </c>
      <c r="B174" s="8" t="s">
        <v>16</v>
      </c>
      <c r="C174" s="8" t="s">
        <v>17</v>
      </c>
      <c r="D174" s="8" t="s">
        <v>27</v>
      </c>
      <c r="E174" s="8" t="s">
        <v>25</v>
      </c>
      <c r="F174" s="10">
        <v>10052</v>
      </c>
      <c r="G174" s="10">
        <v>6075.05</v>
      </c>
      <c r="H174" s="10">
        <v>1199.3399999999999</v>
      </c>
      <c r="I174" s="8">
        <v>86</v>
      </c>
      <c r="J174" s="11">
        <v>0.02</v>
      </c>
      <c r="K174" s="10">
        <f t="shared" si="12"/>
        <v>3976.95</v>
      </c>
      <c r="L174" s="10">
        <f t="shared" si="13"/>
        <v>2777.6099999999997</v>
      </c>
      <c r="M174" s="11">
        <f t="shared" si="14"/>
        <v>0.27632411460405887</v>
      </c>
      <c r="N174" s="8" t="str">
        <f t="shared" si="15"/>
        <v>April</v>
      </c>
      <c r="O174" s="8" t="str">
        <f t="shared" si="16"/>
        <v>Q2</v>
      </c>
      <c r="P174" s="8" t="str">
        <f t="shared" si="17"/>
        <v>2025</v>
      </c>
    </row>
    <row r="175" spans="1:16" x14ac:dyDescent="0.25">
      <c r="A175" s="9" t="s">
        <v>274</v>
      </c>
      <c r="B175" s="8" t="s">
        <v>21</v>
      </c>
      <c r="C175" s="8" t="s">
        <v>12</v>
      </c>
      <c r="D175" s="8" t="s">
        <v>18</v>
      </c>
      <c r="E175" s="8" t="s">
        <v>25</v>
      </c>
      <c r="F175" s="10">
        <v>32172</v>
      </c>
      <c r="G175" s="10">
        <v>22306.51</v>
      </c>
      <c r="H175" s="10">
        <v>5817.85</v>
      </c>
      <c r="I175" s="8">
        <v>256</v>
      </c>
      <c r="J175" s="11">
        <v>0.1</v>
      </c>
      <c r="K175" s="10">
        <f t="shared" si="12"/>
        <v>9865.4900000000016</v>
      </c>
      <c r="L175" s="10">
        <f t="shared" si="13"/>
        <v>4047.6400000000012</v>
      </c>
      <c r="M175" s="11">
        <f t="shared" si="14"/>
        <v>0.12581250777073236</v>
      </c>
      <c r="N175" s="8" t="str">
        <f t="shared" si="15"/>
        <v>April</v>
      </c>
      <c r="O175" s="8" t="str">
        <f t="shared" si="16"/>
        <v>Q2</v>
      </c>
      <c r="P175" s="8" t="str">
        <f t="shared" si="17"/>
        <v>2025</v>
      </c>
    </row>
    <row r="176" spans="1:16" x14ac:dyDescent="0.25">
      <c r="A176" s="9" t="s">
        <v>273</v>
      </c>
      <c r="B176" s="8" t="s">
        <v>24</v>
      </c>
      <c r="C176" s="8" t="s">
        <v>17</v>
      </c>
      <c r="D176" s="8" t="s">
        <v>13</v>
      </c>
      <c r="E176" s="8" t="s">
        <v>19</v>
      </c>
      <c r="F176" s="10">
        <v>9119</v>
      </c>
      <c r="G176" s="10">
        <v>4826.75</v>
      </c>
      <c r="H176" s="10">
        <v>1028.28</v>
      </c>
      <c r="I176" s="8">
        <v>352</v>
      </c>
      <c r="J176" s="11">
        <v>0.02</v>
      </c>
      <c r="K176" s="10">
        <f t="shared" si="12"/>
        <v>4292.25</v>
      </c>
      <c r="L176" s="10">
        <f t="shared" si="13"/>
        <v>3263.9700000000003</v>
      </c>
      <c r="M176" s="11">
        <f t="shared" si="14"/>
        <v>0.3579306941550609</v>
      </c>
      <c r="N176" s="8" t="str">
        <f t="shared" si="15"/>
        <v>April</v>
      </c>
      <c r="O176" s="8" t="str">
        <f t="shared" si="16"/>
        <v>Q2</v>
      </c>
      <c r="P176" s="8" t="str">
        <f t="shared" si="17"/>
        <v>2025</v>
      </c>
    </row>
    <row r="177" spans="1:16" x14ac:dyDescent="0.25">
      <c r="A177" s="9" t="s">
        <v>121</v>
      </c>
      <c r="B177" s="8" t="s">
        <v>16</v>
      </c>
      <c r="C177" s="8" t="s">
        <v>12</v>
      </c>
      <c r="D177" s="8" t="s">
        <v>13</v>
      </c>
      <c r="E177" s="8" t="s">
        <v>25</v>
      </c>
      <c r="F177" s="10">
        <v>35898</v>
      </c>
      <c r="G177" s="10">
        <v>16423.599999999999</v>
      </c>
      <c r="H177" s="10">
        <v>7315.76</v>
      </c>
      <c r="I177" s="8">
        <v>297</v>
      </c>
      <c r="J177" s="11">
        <v>0.05</v>
      </c>
      <c r="K177" s="10">
        <f t="shared" si="12"/>
        <v>19474.400000000001</v>
      </c>
      <c r="L177" s="10">
        <f t="shared" si="13"/>
        <v>12158.640000000001</v>
      </c>
      <c r="M177" s="11">
        <f t="shared" si="14"/>
        <v>0.33869964900551564</v>
      </c>
      <c r="N177" s="8" t="str">
        <f t="shared" si="15"/>
        <v>April</v>
      </c>
      <c r="O177" s="8" t="str">
        <f t="shared" si="16"/>
        <v>Q2</v>
      </c>
      <c r="P177" s="8" t="str">
        <f t="shared" si="17"/>
        <v>2025</v>
      </c>
    </row>
    <row r="178" spans="1:16" x14ac:dyDescent="0.25">
      <c r="A178" s="9" t="s">
        <v>121</v>
      </c>
      <c r="B178" s="8" t="s">
        <v>24</v>
      </c>
      <c r="C178" s="8" t="s">
        <v>12</v>
      </c>
      <c r="D178" s="8" t="s">
        <v>22</v>
      </c>
      <c r="E178" s="8" t="s">
        <v>25</v>
      </c>
      <c r="F178" s="10">
        <v>40373</v>
      </c>
      <c r="G178" s="10">
        <v>20799.39</v>
      </c>
      <c r="H178" s="10">
        <v>8111.83</v>
      </c>
      <c r="I178" s="8">
        <v>38</v>
      </c>
      <c r="J178" s="11">
        <v>0.02</v>
      </c>
      <c r="K178" s="10">
        <f t="shared" si="12"/>
        <v>19573.61</v>
      </c>
      <c r="L178" s="10">
        <f t="shared" si="13"/>
        <v>11461.78</v>
      </c>
      <c r="M178" s="11">
        <f t="shared" si="14"/>
        <v>0.28389715899239593</v>
      </c>
      <c r="N178" s="8" t="str">
        <f t="shared" si="15"/>
        <v>April</v>
      </c>
      <c r="O178" s="8" t="str">
        <f t="shared" si="16"/>
        <v>Q2</v>
      </c>
      <c r="P178" s="8" t="str">
        <f t="shared" si="17"/>
        <v>2025</v>
      </c>
    </row>
    <row r="179" spans="1:16" x14ac:dyDescent="0.25">
      <c r="A179" s="9" t="s">
        <v>121</v>
      </c>
      <c r="B179" s="8" t="s">
        <v>24</v>
      </c>
      <c r="C179" s="8" t="s">
        <v>12</v>
      </c>
      <c r="D179" s="8" t="s">
        <v>13</v>
      </c>
      <c r="E179" s="8" t="s">
        <v>25</v>
      </c>
      <c r="F179" s="10">
        <v>40490</v>
      </c>
      <c r="G179" s="10">
        <v>22428.51</v>
      </c>
      <c r="H179" s="10">
        <v>7998.41</v>
      </c>
      <c r="I179" s="8">
        <v>459</v>
      </c>
      <c r="J179" s="11">
        <v>0</v>
      </c>
      <c r="K179" s="10">
        <f t="shared" si="12"/>
        <v>18061.490000000002</v>
      </c>
      <c r="L179" s="10">
        <f t="shared" si="13"/>
        <v>10063.080000000002</v>
      </c>
      <c r="M179" s="11">
        <f t="shared" si="14"/>
        <v>0.2485324771548531</v>
      </c>
      <c r="N179" s="8" t="str">
        <f t="shared" si="15"/>
        <v>April</v>
      </c>
      <c r="O179" s="8" t="str">
        <f t="shared" si="16"/>
        <v>Q2</v>
      </c>
      <c r="P179" s="8" t="str">
        <f t="shared" si="17"/>
        <v>2025</v>
      </c>
    </row>
    <row r="180" spans="1:16" x14ac:dyDescent="0.25">
      <c r="A180" s="9" t="s">
        <v>121</v>
      </c>
      <c r="B180" s="8" t="s">
        <v>11</v>
      </c>
      <c r="C180" s="8" t="s">
        <v>12</v>
      </c>
      <c r="D180" s="8" t="s">
        <v>13</v>
      </c>
      <c r="E180" s="8" t="s">
        <v>19</v>
      </c>
      <c r="F180" s="10">
        <v>15461</v>
      </c>
      <c r="G180" s="10">
        <v>7421.9</v>
      </c>
      <c r="H180" s="10">
        <v>2658.69</v>
      </c>
      <c r="I180" s="8">
        <v>146</v>
      </c>
      <c r="J180" s="11">
        <v>0.15</v>
      </c>
      <c r="K180" s="10">
        <f t="shared" si="12"/>
        <v>8039.1</v>
      </c>
      <c r="L180" s="10">
        <f t="shared" si="13"/>
        <v>5380.41</v>
      </c>
      <c r="M180" s="11">
        <f t="shared" si="14"/>
        <v>0.34799883578035057</v>
      </c>
      <c r="N180" s="8" t="str">
        <f t="shared" si="15"/>
        <v>April</v>
      </c>
      <c r="O180" s="8" t="str">
        <f t="shared" si="16"/>
        <v>Q2</v>
      </c>
      <c r="P180" s="8" t="str">
        <f t="shared" si="17"/>
        <v>2025</v>
      </c>
    </row>
    <row r="181" spans="1:16" x14ac:dyDescent="0.25">
      <c r="A181" s="9" t="s">
        <v>69</v>
      </c>
      <c r="B181" s="8" t="s">
        <v>11</v>
      </c>
      <c r="C181" s="8" t="s">
        <v>12</v>
      </c>
      <c r="D181" s="8" t="s">
        <v>13</v>
      </c>
      <c r="E181" s="8" t="s">
        <v>25</v>
      </c>
      <c r="F181" s="10">
        <v>49092</v>
      </c>
      <c r="G181" s="10">
        <v>26663.13</v>
      </c>
      <c r="H181" s="10">
        <v>9470.77</v>
      </c>
      <c r="I181" s="8">
        <v>85</v>
      </c>
      <c r="J181" s="11">
        <v>0</v>
      </c>
      <c r="K181" s="10">
        <f t="shared" si="12"/>
        <v>22428.87</v>
      </c>
      <c r="L181" s="10">
        <f t="shared" si="13"/>
        <v>12958.099999999999</v>
      </c>
      <c r="M181" s="11">
        <f t="shared" si="14"/>
        <v>0.26395543062006027</v>
      </c>
      <c r="N181" s="8" t="str">
        <f t="shared" si="15"/>
        <v>May</v>
      </c>
      <c r="O181" s="8" t="str">
        <f t="shared" si="16"/>
        <v>Q2</v>
      </c>
      <c r="P181" s="8" t="str">
        <f t="shared" si="17"/>
        <v>2025</v>
      </c>
    </row>
    <row r="182" spans="1:16" x14ac:dyDescent="0.25">
      <c r="A182" s="9" t="s">
        <v>69</v>
      </c>
      <c r="B182" s="8" t="s">
        <v>21</v>
      </c>
      <c r="C182" s="8" t="s">
        <v>12</v>
      </c>
      <c r="D182" s="8" t="s">
        <v>13</v>
      </c>
      <c r="E182" s="8" t="s">
        <v>25</v>
      </c>
      <c r="F182" s="10">
        <v>40228</v>
      </c>
      <c r="G182" s="10">
        <v>19739.849999999999</v>
      </c>
      <c r="H182" s="10">
        <v>5773.13</v>
      </c>
      <c r="I182" s="8">
        <v>353</v>
      </c>
      <c r="J182" s="11">
        <v>0.15</v>
      </c>
      <c r="K182" s="10">
        <f t="shared" si="12"/>
        <v>20488.150000000001</v>
      </c>
      <c r="L182" s="10">
        <f t="shared" si="13"/>
        <v>14715.02</v>
      </c>
      <c r="M182" s="11">
        <f t="shared" si="14"/>
        <v>0.36579049418315601</v>
      </c>
      <c r="N182" s="8" t="str">
        <f t="shared" si="15"/>
        <v>May</v>
      </c>
      <c r="O182" s="8" t="str">
        <f t="shared" si="16"/>
        <v>Q2</v>
      </c>
      <c r="P182" s="8" t="str">
        <f t="shared" si="17"/>
        <v>2025</v>
      </c>
    </row>
    <row r="183" spans="1:16" x14ac:dyDescent="0.25">
      <c r="A183" s="9" t="s">
        <v>69</v>
      </c>
      <c r="B183" s="8" t="s">
        <v>11</v>
      </c>
      <c r="C183" s="8" t="s">
        <v>17</v>
      </c>
      <c r="D183" s="8" t="s">
        <v>22</v>
      </c>
      <c r="E183" s="8" t="s">
        <v>14</v>
      </c>
      <c r="F183" s="10">
        <v>28768</v>
      </c>
      <c r="G183" s="10">
        <v>13803.07</v>
      </c>
      <c r="H183" s="10">
        <v>5063.03</v>
      </c>
      <c r="I183" s="8">
        <v>288</v>
      </c>
      <c r="J183" s="11">
        <v>0.05</v>
      </c>
      <c r="K183" s="10">
        <f t="shared" si="12"/>
        <v>14964.93</v>
      </c>
      <c r="L183" s="10">
        <f t="shared" si="13"/>
        <v>9901.9000000000015</v>
      </c>
      <c r="M183" s="11">
        <f t="shared" si="14"/>
        <v>0.34419841490545056</v>
      </c>
      <c r="N183" s="8" t="str">
        <f t="shared" si="15"/>
        <v>May</v>
      </c>
      <c r="O183" s="8" t="str">
        <f t="shared" si="16"/>
        <v>Q2</v>
      </c>
      <c r="P183" s="8" t="str">
        <f t="shared" si="17"/>
        <v>2025</v>
      </c>
    </row>
    <row r="184" spans="1:16" x14ac:dyDescent="0.25">
      <c r="A184" s="9" t="s">
        <v>69</v>
      </c>
      <c r="B184" s="8" t="s">
        <v>24</v>
      </c>
      <c r="C184" s="8" t="s">
        <v>12</v>
      </c>
      <c r="D184" s="8" t="s">
        <v>22</v>
      </c>
      <c r="E184" s="8" t="s">
        <v>19</v>
      </c>
      <c r="F184" s="10">
        <v>9071</v>
      </c>
      <c r="G184" s="10">
        <v>5899.2</v>
      </c>
      <c r="H184" s="10">
        <v>1316.7</v>
      </c>
      <c r="I184" s="8">
        <v>91</v>
      </c>
      <c r="J184" s="11">
        <v>0.1</v>
      </c>
      <c r="K184" s="10">
        <f t="shared" si="12"/>
        <v>3171.8</v>
      </c>
      <c r="L184" s="10">
        <f t="shared" si="13"/>
        <v>1855.1000000000001</v>
      </c>
      <c r="M184" s="11">
        <f t="shared" si="14"/>
        <v>0.2045088744350127</v>
      </c>
      <c r="N184" s="8" t="str">
        <f t="shared" si="15"/>
        <v>May</v>
      </c>
      <c r="O184" s="8" t="str">
        <f t="shared" si="16"/>
        <v>Q2</v>
      </c>
      <c r="P184" s="8" t="str">
        <f t="shared" si="17"/>
        <v>2025</v>
      </c>
    </row>
    <row r="185" spans="1:16" x14ac:dyDescent="0.25">
      <c r="A185" s="9" t="s">
        <v>45</v>
      </c>
      <c r="B185" s="8" t="s">
        <v>11</v>
      </c>
      <c r="C185" s="8" t="s">
        <v>12</v>
      </c>
      <c r="D185" s="8" t="s">
        <v>13</v>
      </c>
      <c r="E185" s="8" t="s">
        <v>14</v>
      </c>
      <c r="F185" s="10">
        <v>15899</v>
      </c>
      <c r="G185" s="10">
        <v>9093.02</v>
      </c>
      <c r="H185" s="10">
        <v>2343.36</v>
      </c>
      <c r="I185" s="8">
        <v>452</v>
      </c>
      <c r="J185" s="11">
        <v>0.1</v>
      </c>
      <c r="K185" s="10">
        <f t="shared" si="12"/>
        <v>6805.98</v>
      </c>
      <c r="L185" s="10">
        <f t="shared" si="13"/>
        <v>4462.619999999999</v>
      </c>
      <c r="M185" s="11">
        <f t="shared" si="14"/>
        <v>0.28068557770928981</v>
      </c>
      <c r="N185" s="8" t="str">
        <f t="shared" si="15"/>
        <v>May</v>
      </c>
      <c r="O185" s="8" t="str">
        <f t="shared" si="16"/>
        <v>Q2</v>
      </c>
      <c r="P185" s="8" t="str">
        <f t="shared" si="17"/>
        <v>2025</v>
      </c>
    </row>
    <row r="186" spans="1:16" x14ac:dyDescent="0.25">
      <c r="A186" s="9" t="s">
        <v>45</v>
      </c>
      <c r="B186" s="8" t="s">
        <v>21</v>
      </c>
      <c r="C186" s="8" t="s">
        <v>12</v>
      </c>
      <c r="D186" s="8" t="s">
        <v>18</v>
      </c>
      <c r="E186" s="8" t="s">
        <v>14</v>
      </c>
      <c r="F186" s="10">
        <v>18754</v>
      </c>
      <c r="G186" s="10">
        <v>13000.48</v>
      </c>
      <c r="H186" s="10">
        <v>3043.95</v>
      </c>
      <c r="I186" s="8">
        <v>189</v>
      </c>
      <c r="J186" s="11">
        <v>0.15</v>
      </c>
      <c r="K186" s="10">
        <f t="shared" si="12"/>
        <v>5753.52</v>
      </c>
      <c r="L186" s="10">
        <f t="shared" si="13"/>
        <v>2709.5700000000006</v>
      </c>
      <c r="M186" s="11">
        <f t="shared" si="14"/>
        <v>0.14447957769009281</v>
      </c>
      <c r="N186" s="8" t="str">
        <f t="shared" si="15"/>
        <v>May</v>
      </c>
      <c r="O186" s="8" t="str">
        <f t="shared" si="16"/>
        <v>Q2</v>
      </c>
      <c r="P186" s="8" t="str">
        <f t="shared" si="17"/>
        <v>2025</v>
      </c>
    </row>
    <row r="187" spans="1:16" x14ac:dyDescent="0.25">
      <c r="A187" s="9" t="s">
        <v>204</v>
      </c>
      <c r="B187" s="8" t="s">
        <v>24</v>
      </c>
      <c r="C187" s="8" t="s">
        <v>17</v>
      </c>
      <c r="D187" s="8" t="s">
        <v>18</v>
      </c>
      <c r="E187" s="8" t="s">
        <v>25</v>
      </c>
      <c r="F187" s="10">
        <v>42138</v>
      </c>
      <c r="G187" s="10">
        <v>29513.25</v>
      </c>
      <c r="H187" s="10">
        <v>5666.8</v>
      </c>
      <c r="I187" s="8">
        <v>469</v>
      </c>
      <c r="J187" s="11">
        <v>0.15</v>
      </c>
      <c r="K187" s="10">
        <f t="shared" si="12"/>
        <v>12624.75</v>
      </c>
      <c r="L187" s="10">
        <f t="shared" si="13"/>
        <v>6957.95</v>
      </c>
      <c r="M187" s="11">
        <f t="shared" si="14"/>
        <v>0.16512292942237411</v>
      </c>
      <c r="N187" s="8" t="str">
        <f t="shared" si="15"/>
        <v>May</v>
      </c>
      <c r="O187" s="8" t="str">
        <f t="shared" si="16"/>
        <v>Q2</v>
      </c>
      <c r="P187" s="8" t="str">
        <f t="shared" si="17"/>
        <v>2025</v>
      </c>
    </row>
    <row r="188" spans="1:16" x14ac:dyDescent="0.25">
      <c r="A188" s="9" t="s">
        <v>204</v>
      </c>
      <c r="B188" s="8" t="s">
        <v>24</v>
      </c>
      <c r="C188" s="8" t="s">
        <v>17</v>
      </c>
      <c r="D188" s="8" t="s">
        <v>18</v>
      </c>
      <c r="E188" s="8" t="s">
        <v>19</v>
      </c>
      <c r="F188" s="10">
        <v>37740</v>
      </c>
      <c r="G188" s="10">
        <v>24207.37</v>
      </c>
      <c r="H188" s="10">
        <v>3394.4</v>
      </c>
      <c r="I188" s="8">
        <v>465</v>
      </c>
      <c r="J188" s="11">
        <v>0</v>
      </c>
      <c r="K188" s="10">
        <f t="shared" si="12"/>
        <v>13532.630000000001</v>
      </c>
      <c r="L188" s="10">
        <f t="shared" si="13"/>
        <v>10138.230000000001</v>
      </c>
      <c r="M188" s="11">
        <f t="shared" si="14"/>
        <v>0.26863354531001593</v>
      </c>
      <c r="N188" s="8" t="str">
        <f t="shared" si="15"/>
        <v>May</v>
      </c>
      <c r="O188" s="8" t="str">
        <f t="shared" si="16"/>
        <v>Q2</v>
      </c>
      <c r="P188" s="8" t="str">
        <f t="shared" si="17"/>
        <v>2025</v>
      </c>
    </row>
    <row r="189" spans="1:16" x14ac:dyDescent="0.25">
      <c r="A189" s="9" t="s">
        <v>197</v>
      </c>
      <c r="B189" s="8" t="s">
        <v>21</v>
      </c>
      <c r="C189" s="8" t="s">
        <v>17</v>
      </c>
      <c r="D189" s="8" t="s">
        <v>13</v>
      </c>
      <c r="E189" s="8" t="s">
        <v>14</v>
      </c>
      <c r="F189" s="10">
        <v>37722</v>
      </c>
      <c r="G189" s="10">
        <v>23206.3</v>
      </c>
      <c r="H189" s="10">
        <v>8000.27</v>
      </c>
      <c r="I189" s="8">
        <v>182</v>
      </c>
      <c r="J189" s="11">
        <v>0.05</v>
      </c>
      <c r="K189" s="10">
        <f t="shared" si="12"/>
        <v>14515.7</v>
      </c>
      <c r="L189" s="10">
        <f t="shared" si="13"/>
        <v>6515.43</v>
      </c>
      <c r="M189" s="11">
        <f t="shared" si="14"/>
        <v>0.17272228407825674</v>
      </c>
      <c r="N189" s="8" t="str">
        <f t="shared" si="15"/>
        <v>May</v>
      </c>
      <c r="O189" s="8" t="str">
        <f t="shared" si="16"/>
        <v>Q2</v>
      </c>
      <c r="P189" s="8" t="str">
        <f t="shared" si="17"/>
        <v>2025</v>
      </c>
    </row>
    <row r="190" spans="1:16" x14ac:dyDescent="0.25">
      <c r="A190" s="9" t="s">
        <v>197</v>
      </c>
      <c r="B190" s="8" t="s">
        <v>11</v>
      </c>
      <c r="C190" s="8" t="s">
        <v>17</v>
      </c>
      <c r="D190" s="8" t="s">
        <v>18</v>
      </c>
      <c r="E190" s="8" t="s">
        <v>14</v>
      </c>
      <c r="F190" s="10">
        <v>10650</v>
      </c>
      <c r="G190" s="10">
        <v>7746.69</v>
      </c>
      <c r="H190" s="10">
        <v>1024.94</v>
      </c>
      <c r="I190" s="8">
        <v>323</v>
      </c>
      <c r="J190" s="11">
        <v>0.15</v>
      </c>
      <c r="K190" s="10">
        <f t="shared" si="12"/>
        <v>2903.3100000000004</v>
      </c>
      <c r="L190" s="10">
        <f t="shared" si="13"/>
        <v>1878.3700000000003</v>
      </c>
      <c r="M190" s="11">
        <f t="shared" si="14"/>
        <v>0.17637276995305168</v>
      </c>
      <c r="N190" s="8" t="str">
        <f t="shared" si="15"/>
        <v>May</v>
      </c>
      <c r="O190" s="8" t="str">
        <f t="shared" si="16"/>
        <v>Q2</v>
      </c>
      <c r="P190" s="8" t="str">
        <f t="shared" si="17"/>
        <v>2025</v>
      </c>
    </row>
    <row r="191" spans="1:16" x14ac:dyDescent="0.25">
      <c r="A191" s="9" t="s">
        <v>82</v>
      </c>
      <c r="B191" s="8" t="s">
        <v>21</v>
      </c>
      <c r="C191" s="8" t="s">
        <v>12</v>
      </c>
      <c r="D191" s="8" t="s">
        <v>18</v>
      </c>
      <c r="E191" s="8" t="s">
        <v>19</v>
      </c>
      <c r="F191" s="10">
        <v>18065</v>
      </c>
      <c r="G191" s="10">
        <v>12677.45</v>
      </c>
      <c r="H191" s="10">
        <v>3016.62</v>
      </c>
      <c r="I191" s="8">
        <v>132</v>
      </c>
      <c r="J191" s="11">
        <v>0.02</v>
      </c>
      <c r="K191" s="10">
        <f t="shared" si="12"/>
        <v>5387.5499999999993</v>
      </c>
      <c r="L191" s="10">
        <f t="shared" si="13"/>
        <v>2370.9299999999994</v>
      </c>
      <c r="M191" s="11">
        <f t="shared" si="14"/>
        <v>0.1312443952394132</v>
      </c>
      <c r="N191" s="8" t="str">
        <f t="shared" si="15"/>
        <v>May</v>
      </c>
      <c r="O191" s="8" t="str">
        <f t="shared" si="16"/>
        <v>Q2</v>
      </c>
      <c r="P191" s="8" t="str">
        <f t="shared" si="17"/>
        <v>2025</v>
      </c>
    </row>
    <row r="192" spans="1:16" x14ac:dyDescent="0.25">
      <c r="A192" s="9" t="s">
        <v>82</v>
      </c>
      <c r="B192" s="8" t="s">
        <v>16</v>
      </c>
      <c r="C192" s="8" t="s">
        <v>17</v>
      </c>
      <c r="D192" s="8" t="s">
        <v>22</v>
      </c>
      <c r="E192" s="8" t="s">
        <v>19</v>
      </c>
      <c r="F192" s="10">
        <v>23284</v>
      </c>
      <c r="G192" s="10">
        <v>14376.15</v>
      </c>
      <c r="H192" s="10">
        <v>2595.73</v>
      </c>
      <c r="I192" s="8">
        <v>162</v>
      </c>
      <c r="J192" s="11">
        <v>0.05</v>
      </c>
      <c r="K192" s="10">
        <f t="shared" si="12"/>
        <v>8907.85</v>
      </c>
      <c r="L192" s="10">
        <f t="shared" si="13"/>
        <v>6312.1200000000008</v>
      </c>
      <c r="M192" s="11">
        <f t="shared" si="14"/>
        <v>0.27109259577392203</v>
      </c>
      <c r="N192" s="8" t="str">
        <f t="shared" si="15"/>
        <v>May</v>
      </c>
      <c r="O192" s="8" t="str">
        <f t="shared" si="16"/>
        <v>Q2</v>
      </c>
      <c r="P192" s="8" t="str">
        <f t="shared" si="17"/>
        <v>2025</v>
      </c>
    </row>
    <row r="193" spans="1:16" x14ac:dyDescent="0.25">
      <c r="A193" s="9" t="s">
        <v>239</v>
      </c>
      <c r="B193" s="8" t="s">
        <v>11</v>
      </c>
      <c r="C193" s="8" t="s">
        <v>17</v>
      </c>
      <c r="D193" s="8" t="s">
        <v>13</v>
      </c>
      <c r="E193" s="8" t="s">
        <v>25</v>
      </c>
      <c r="F193" s="10">
        <v>9442</v>
      </c>
      <c r="G193" s="10">
        <v>5241.67</v>
      </c>
      <c r="H193" s="10">
        <v>1795.71</v>
      </c>
      <c r="I193" s="8">
        <v>378</v>
      </c>
      <c r="J193" s="11">
        <v>0</v>
      </c>
      <c r="K193" s="10">
        <f t="shared" si="12"/>
        <v>4200.33</v>
      </c>
      <c r="L193" s="10">
        <f t="shared" si="13"/>
        <v>2404.62</v>
      </c>
      <c r="M193" s="11">
        <f t="shared" si="14"/>
        <v>0.25467273882651981</v>
      </c>
      <c r="N193" s="8" t="str">
        <f t="shared" si="15"/>
        <v>May</v>
      </c>
      <c r="O193" s="8" t="str">
        <f t="shared" si="16"/>
        <v>Q2</v>
      </c>
      <c r="P193" s="8" t="str">
        <f t="shared" si="17"/>
        <v>2025</v>
      </c>
    </row>
    <row r="194" spans="1:16" x14ac:dyDescent="0.25">
      <c r="A194" s="9" t="s">
        <v>165</v>
      </c>
      <c r="B194" s="8" t="s">
        <v>11</v>
      </c>
      <c r="C194" s="8" t="s">
        <v>12</v>
      </c>
      <c r="D194" s="8" t="s">
        <v>18</v>
      </c>
      <c r="E194" s="8" t="s">
        <v>14</v>
      </c>
      <c r="F194" s="10">
        <v>17864</v>
      </c>
      <c r="G194" s="10">
        <v>11442.2</v>
      </c>
      <c r="H194" s="10">
        <v>2806.75</v>
      </c>
      <c r="I194" s="8">
        <v>74</v>
      </c>
      <c r="J194" s="11">
        <v>0.05</v>
      </c>
      <c r="K194" s="10">
        <f t="shared" si="12"/>
        <v>6421.7999999999993</v>
      </c>
      <c r="L194" s="10">
        <f t="shared" si="13"/>
        <v>3615.0499999999993</v>
      </c>
      <c r="M194" s="11">
        <f t="shared" si="14"/>
        <v>0.20236509180474693</v>
      </c>
      <c r="N194" s="8" t="str">
        <f t="shared" si="15"/>
        <v>May</v>
      </c>
      <c r="O194" s="8" t="str">
        <f t="shared" si="16"/>
        <v>Q2</v>
      </c>
      <c r="P194" s="8" t="str">
        <f t="shared" si="17"/>
        <v>2025</v>
      </c>
    </row>
    <row r="195" spans="1:16" x14ac:dyDescent="0.25">
      <c r="A195" s="9" t="s">
        <v>165</v>
      </c>
      <c r="B195" s="8" t="s">
        <v>11</v>
      </c>
      <c r="C195" s="8" t="s">
        <v>17</v>
      </c>
      <c r="D195" s="8" t="s">
        <v>13</v>
      </c>
      <c r="E195" s="8" t="s">
        <v>14</v>
      </c>
      <c r="F195" s="10">
        <v>14596</v>
      </c>
      <c r="G195" s="10">
        <v>10243.69</v>
      </c>
      <c r="H195" s="10">
        <v>2578.87</v>
      </c>
      <c r="I195" s="8">
        <v>161</v>
      </c>
      <c r="J195" s="11">
        <v>0.02</v>
      </c>
      <c r="K195" s="10">
        <f t="shared" ref="K195:K258" si="18">F195-G195</f>
        <v>4352.3099999999995</v>
      </c>
      <c r="L195" s="10">
        <f t="shared" ref="L195:L258" si="19">F195-G195-H195</f>
        <v>1773.4399999999996</v>
      </c>
      <c r="M195" s="11">
        <f t="shared" ref="M195:M258" si="20">L195/F195</f>
        <v>0.1215017813099479</v>
      </c>
      <c r="N195" s="8" t="str">
        <f t="shared" ref="N195:N258" si="21">TEXT(A195,"MMMM")</f>
        <v>May</v>
      </c>
      <c r="O195" s="8" t="str">
        <f t="shared" ref="O195:O258" si="22">"Q"&amp;ROUNDUP(MONTH(A195)/3,0)</f>
        <v>Q2</v>
      </c>
      <c r="P195" s="8" t="str">
        <f t="shared" ref="P195:P258" si="23">TEXT(A195,"YYYY")</f>
        <v>2025</v>
      </c>
    </row>
    <row r="196" spans="1:16" x14ac:dyDescent="0.25">
      <c r="A196" s="9" t="s">
        <v>81</v>
      </c>
      <c r="B196" s="8" t="s">
        <v>16</v>
      </c>
      <c r="C196" s="8" t="s">
        <v>12</v>
      </c>
      <c r="D196" s="8" t="s">
        <v>27</v>
      </c>
      <c r="E196" s="8" t="s">
        <v>14</v>
      </c>
      <c r="F196" s="10">
        <v>10367</v>
      </c>
      <c r="G196" s="10">
        <v>6127.85</v>
      </c>
      <c r="H196" s="10">
        <v>1916.48</v>
      </c>
      <c r="I196" s="8">
        <v>36</v>
      </c>
      <c r="J196" s="11">
        <v>0.05</v>
      </c>
      <c r="K196" s="10">
        <f t="shared" si="18"/>
        <v>4239.1499999999996</v>
      </c>
      <c r="L196" s="10">
        <f t="shared" si="19"/>
        <v>2322.6699999999996</v>
      </c>
      <c r="M196" s="11">
        <f t="shared" si="20"/>
        <v>0.22404456448345708</v>
      </c>
      <c r="N196" s="8" t="str">
        <f t="shared" si="21"/>
        <v>May</v>
      </c>
      <c r="O196" s="8" t="str">
        <f t="shared" si="22"/>
        <v>Q2</v>
      </c>
      <c r="P196" s="8" t="str">
        <f t="shared" si="23"/>
        <v>2025</v>
      </c>
    </row>
    <row r="197" spans="1:16" x14ac:dyDescent="0.25">
      <c r="A197" s="9" t="s">
        <v>81</v>
      </c>
      <c r="B197" s="8" t="s">
        <v>11</v>
      </c>
      <c r="C197" s="8" t="s">
        <v>12</v>
      </c>
      <c r="D197" s="8" t="s">
        <v>22</v>
      </c>
      <c r="E197" s="8" t="s">
        <v>19</v>
      </c>
      <c r="F197" s="10">
        <v>48028</v>
      </c>
      <c r="G197" s="10">
        <v>35508.21</v>
      </c>
      <c r="H197" s="10">
        <v>7894.75</v>
      </c>
      <c r="I197" s="8">
        <v>86</v>
      </c>
      <c r="J197" s="11">
        <v>0.05</v>
      </c>
      <c r="K197" s="10">
        <f t="shared" si="18"/>
        <v>12519.79</v>
      </c>
      <c r="L197" s="10">
        <f t="shared" si="19"/>
        <v>4625.0400000000009</v>
      </c>
      <c r="M197" s="11">
        <f t="shared" si="20"/>
        <v>9.6298825685017089E-2</v>
      </c>
      <c r="N197" s="8" t="str">
        <f t="shared" si="21"/>
        <v>May</v>
      </c>
      <c r="O197" s="8" t="str">
        <f t="shared" si="22"/>
        <v>Q2</v>
      </c>
      <c r="P197" s="8" t="str">
        <f t="shared" si="23"/>
        <v>2025</v>
      </c>
    </row>
    <row r="198" spans="1:16" x14ac:dyDescent="0.25">
      <c r="A198" s="9" t="s">
        <v>81</v>
      </c>
      <c r="B198" s="8" t="s">
        <v>21</v>
      </c>
      <c r="C198" s="8" t="s">
        <v>17</v>
      </c>
      <c r="D198" s="8" t="s">
        <v>13</v>
      </c>
      <c r="E198" s="8" t="s">
        <v>25</v>
      </c>
      <c r="F198" s="10">
        <v>48166</v>
      </c>
      <c r="G198" s="10">
        <v>23902.04</v>
      </c>
      <c r="H198" s="10">
        <v>6706.53</v>
      </c>
      <c r="I198" s="8">
        <v>203</v>
      </c>
      <c r="J198" s="11">
        <v>0</v>
      </c>
      <c r="K198" s="10">
        <f t="shared" si="18"/>
        <v>24263.96</v>
      </c>
      <c r="L198" s="10">
        <f t="shared" si="19"/>
        <v>17557.43</v>
      </c>
      <c r="M198" s="11">
        <f t="shared" si="20"/>
        <v>0.36451916289498815</v>
      </c>
      <c r="N198" s="8" t="str">
        <f t="shared" si="21"/>
        <v>May</v>
      </c>
      <c r="O198" s="8" t="str">
        <f t="shared" si="22"/>
        <v>Q2</v>
      </c>
      <c r="P198" s="8" t="str">
        <f t="shared" si="23"/>
        <v>2025</v>
      </c>
    </row>
    <row r="199" spans="1:16" x14ac:dyDescent="0.25">
      <c r="A199" s="9" t="s">
        <v>81</v>
      </c>
      <c r="B199" s="8" t="s">
        <v>21</v>
      </c>
      <c r="C199" s="8" t="s">
        <v>12</v>
      </c>
      <c r="D199" s="8" t="s">
        <v>27</v>
      </c>
      <c r="E199" s="8" t="s">
        <v>25</v>
      </c>
      <c r="F199" s="10">
        <v>19300</v>
      </c>
      <c r="G199" s="10">
        <v>11387.18</v>
      </c>
      <c r="H199" s="10">
        <v>3373.78</v>
      </c>
      <c r="I199" s="8">
        <v>432</v>
      </c>
      <c r="J199" s="11">
        <v>0.15</v>
      </c>
      <c r="K199" s="10">
        <f t="shared" si="18"/>
        <v>7912.82</v>
      </c>
      <c r="L199" s="10">
        <f t="shared" si="19"/>
        <v>4539.0399999999991</v>
      </c>
      <c r="M199" s="11">
        <f t="shared" si="20"/>
        <v>0.23518341968911913</v>
      </c>
      <c r="N199" s="8" t="str">
        <f t="shared" si="21"/>
        <v>May</v>
      </c>
      <c r="O199" s="8" t="str">
        <f t="shared" si="22"/>
        <v>Q2</v>
      </c>
      <c r="P199" s="8" t="str">
        <f t="shared" si="23"/>
        <v>2025</v>
      </c>
    </row>
    <row r="200" spans="1:16" x14ac:dyDescent="0.25">
      <c r="A200" s="9" t="s">
        <v>112</v>
      </c>
      <c r="B200" s="8" t="s">
        <v>16</v>
      </c>
      <c r="C200" s="8" t="s">
        <v>12</v>
      </c>
      <c r="D200" s="8" t="s">
        <v>13</v>
      </c>
      <c r="E200" s="8" t="s">
        <v>19</v>
      </c>
      <c r="F200" s="10">
        <v>48702</v>
      </c>
      <c r="G200" s="10">
        <v>22053.200000000001</v>
      </c>
      <c r="H200" s="10">
        <v>9382.3700000000008</v>
      </c>
      <c r="I200" s="8">
        <v>471</v>
      </c>
      <c r="J200" s="11">
        <v>0.05</v>
      </c>
      <c r="K200" s="10">
        <f t="shared" si="18"/>
        <v>26648.799999999999</v>
      </c>
      <c r="L200" s="10">
        <f t="shared" si="19"/>
        <v>17266.43</v>
      </c>
      <c r="M200" s="11">
        <f t="shared" si="20"/>
        <v>0.3545322574021601</v>
      </c>
      <c r="N200" s="8" t="str">
        <f t="shared" si="21"/>
        <v>May</v>
      </c>
      <c r="O200" s="8" t="str">
        <f t="shared" si="22"/>
        <v>Q2</v>
      </c>
      <c r="P200" s="8" t="str">
        <f t="shared" si="23"/>
        <v>2025</v>
      </c>
    </row>
    <row r="201" spans="1:16" x14ac:dyDescent="0.25">
      <c r="A201" s="9" t="s">
        <v>112</v>
      </c>
      <c r="B201" s="8" t="s">
        <v>11</v>
      </c>
      <c r="C201" s="8" t="s">
        <v>12</v>
      </c>
      <c r="D201" s="8" t="s">
        <v>27</v>
      </c>
      <c r="E201" s="8" t="s">
        <v>19</v>
      </c>
      <c r="F201" s="10">
        <v>29530</v>
      </c>
      <c r="G201" s="10">
        <v>21736.38</v>
      </c>
      <c r="H201" s="10">
        <v>5201.8599999999997</v>
      </c>
      <c r="I201" s="8">
        <v>252</v>
      </c>
      <c r="J201" s="11">
        <v>0</v>
      </c>
      <c r="K201" s="10">
        <f t="shared" si="18"/>
        <v>7793.619999999999</v>
      </c>
      <c r="L201" s="10">
        <f t="shared" si="19"/>
        <v>2591.7599999999993</v>
      </c>
      <c r="M201" s="11">
        <f t="shared" si="20"/>
        <v>8.776701659329493E-2</v>
      </c>
      <c r="N201" s="8" t="str">
        <f t="shared" si="21"/>
        <v>May</v>
      </c>
      <c r="O201" s="8" t="str">
        <f t="shared" si="22"/>
        <v>Q2</v>
      </c>
      <c r="P201" s="8" t="str">
        <f t="shared" si="23"/>
        <v>2025</v>
      </c>
    </row>
    <row r="202" spans="1:16" x14ac:dyDescent="0.25">
      <c r="A202" s="9" t="s">
        <v>112</v>
      </c>
      <c r="B202" s="8" t="s">
        <v>11</v>
      </c>
      <c r="C202" s="8" t="s">
        <v>12</v>
      </c>
      <c r="D202" s="8" t="s">
        <v>27</v>
      </c>
      <c r="E202" s="8" t="s">
        <v>14</v>
      </c>
      <c r="F202" s="10">
        <v>11743</v>
      </c>
      <c r="G202" s="10">
        <v>8434.77</v>
      </c>
      <c r="H202" s="10">
        <v>2047.71</v>
      </c>
      <c r="I202" s="8">
        <v>69</v>
      </c>
      <c r="J202" s="11">
        <v>0.02</v>
      </c>
      <c r="K202" s="10">
        <f t="shared" si="18"/>
        <v>3308.2299999999996</v>
      </c>
      <c r="L202" s="10">
        <f t="shared" si="19"/>
        <v>1260.5199999999995</v>
      </c>
      <c r="M202" s="11">
        <f t="shared" si="20"/>
        <v>0.10734224644469041</v>
      </c>
      <c r="N202" s="8" t="str">
        <f t="shared" si="21"/>
        <v>May</v>
      </c>
      <c r="O202" s="8" t="str">
        <f t="shared" si="22"/>
        <v>Q2</v>
      </c>
      <c r="P202" s="8" t="str">
        <f t="shared" si="23"/>
        <v>2025</v>
      </c>
    </row>
    <row r="203" spans="1:16" x14ac:dyDescent="0.25">
      <c r="A203" s="9" t="s">
        <v>112</v>
      </c>
      <c r="B203" s="8" t="s">
        <v>11</v>
      </c>
      <c r="C203" s="8" t="s">
        <v>12</v>
      </c>
      <c r="D203" s="8" t="s">
        <v>27</v>
      </c>
      <c r="E203" s="8" t="s">
        <v>19</v>
      </c>
      <c r="F203" s="10">
        <v>40044</v>
      </c>
      <c r="G203" s="10">
        <v>25505.64</v>
      </c>
      <c r="H203" s="10">
        <v>6533.15</v>
      </c>
      <c r="I203" s="8">
        <v>34</v>
      </c>
      <c r="J203" s="11">
        <v>0</v>
      </c>
      <c r="K203" s="10">
        <f t="shared" si="18"/>
        <v>14538.36</v>
      </c>
      <c r="L203" s="10">
        <f t="shared" si="19"/>
        <v>8005.2100000000009</v>
      </c>
      <c r="M203" s="11">
        <f t="shared" si="20"/>
        <v>0.19991034861652185</v>
      </c>
      <c r="N203" s="8" t="str">
        <f t="shared" si="21"/>
        <v>May</v>
      </c>
      <c r="O203" s="8" t="str">
        <f t="shared" si="22"/>
        <v>Q2</v>
      </c>
      <c r="P203" s="8" t="str">
        <f t="shared" si="23"/>
        <v>2025</v>
      </c>
    </row>
    <row r="204" spans="1:16" x14ac:dyDescent="0.25">
      <c r="A204" s="9" t="s">
        <v>112</v>
      </c>
      <c r="B204" s="8" t="s">
        <v>21</v>
      </c>
      <c r="C204" s="8" t="s">
        <v>17</v>
      </c>
      <c r="D204" s="8" t="s">
        <v>18</v>
      </c>
      <c r="E204" s="8" t="s">
        <v>14</v>
      </c>
      <c r="F204" s="10">
        <v>36269</v>
      </c>
      <c r="G204" s="10">
        <v>24654.13</v>
      </c>
      <c r="H204" s="10">
        <v>7522.62</v>
      </c>
      <c r="I204" s="8">
        <v>52</v>
      </c>
      <c r="J204" s="11">
        <v>0.05</v>
      </c>
      <c r="K204" s="10">
        <f t="shared" si="18"/>
        <v>11614.869999999999</v>
      </c>
      <c r="L204" s="10">
        <f t="shared" si="19"/>
        <v>4092.2499999999991</v>
      </c>
      <c r="M204" s="11">
        <f t="shared" si="20"/>
        <v>0.11283051641898037</v>
      </c>
      <c r="N204" s="8" t="str">
        <f t="shared" si="21"/>
        <v>May</v>
      </c>
      <c r="O204" s="8" t="str">
        <f t="shared" si="22"/>
        <v>Q2</v>
      </c>
      <c r="P204" s="8" t="str">
        <f t="shared" si="23"/>
        <v>2025</v>
      </c>
    </row>
    <row r="205" spans="1:16" x14ac:dyDescent="0.25">
      <c r="A205" s="9" t="s">
        <v>88</v>
      </c>
      <c r="B205" s="8" t="s">
        <v>11</v>
      </c>
      <c r="C205" s="8" t="s">
        <v>12</v>
      </c>
      <c r="D205" s="8" t="s">
        <v>27</v>
      </c>
      <c r="E205" s="8" t="s">
        <v>14</v>
      </c>
      <c r="F205" s="10">
        <v>27304</v>
      </c>
      <c r="G205" s="10">
        <v>14577.54</v>
      </c>
      <c r="H205" s="10">
        <v>4463.16</v>
      </c>
      <c r="I205" s="8">
        <v>460</v>
      </c>
      <c r="J205" s="11">
        <v>0.05</v>
      </c>
      <c r="K205" s="10">
        <f t="shared" si="18"/>
        <v>12726.46</v>
      </c>
      <c r="L205" s="10">
        <f t="shared" si="19"/>
        <v>8263.2999999999993</v>
      </c>
      <c r="M205" s="11">
        <f t="shared" si="20"/>
        <v>0.30264063873425134</v>
      </c>
      <c r="N205" s="8" t="str">
        <f t="shared" si="21"/>
        <v>May</v>
      </c>
      <c r="O205" s="8" t="str">
        <f t="shared" si="22"/>
        <v>Q2</v>
      </c>
      <c r="P205" s="8" t="str">
        <f t="shared" si="23"/>
        <v>2025</v>
      </c>
    </row>
    <row r="206" spans="1:16" x14ac:dyDescent="0.25">
      <c r="A206" s="9" t="s">
        <v>88</v>
      </c>
      <c r="B206" s="8" t="s">
        <v>21</v>
      </c>
      <c r="C206" s="8" t="s">
        <v>17</v>
      </c>
      <c r="D206" s="8" t="s">
        <v>22</v>
      </c>
      <c r="E206" s="8" t="s">
        <v>19</v>
      </c>
      <c r="F206" s="10">
        <v>25955</v>
      </c>
      <c r="G206" s="10">
        <v>18771.73</v>
      </c>
      <c r="H206" s="10">
        <v>5398.23</v>
      </c>
      <c r="I206" s="8">
        <v>44</v>
      </c>
      <c r="J206" s="11">
        <v>0</v>
      </c>
      <c r="K206" s="10">
        <f t="shared" si="18"/>
        <v>7183.27</v>
      </c>
      <c r="L206" s="10">
        <f t="shared" si="19"/>
        <v>1785.0400000000009</v>
      </c>
      <c r="M206" s="11">
        <f t="shared" si="20"/>
        <v>6.8774417260643456E-2</v>
      </c>
      <c r="N206" s="8" t="str">
        <f t="shared" si="21"/>
        <v>May</v>
      </c>
      <c r="O206" s="8" t="str">
        <f t="shared" si="22"/>
        <v>Q2</v>
      </c>
      <c r="P206" s="8" t="str">
        <f t="shared" si="23"/>
        <v>2025</v>
      </c>
    </row>
    <row r="207" spans="1:16" x14ac:dyDescent="0.25">
      <c r="A207" s="9" t="s">
        <v>228</v>
      </c>
      <c r="B207" s="8" t="s">
        <v>24</v>
      </c>
      <c r="C207" s="8" t="s">
        <v>17</v>
      </c>
      <c r="D207" s="8" t="s">
        <v>22</v>
      </c>
      <c r="E207" s="8" t="s">
        <v>14</v>
      </c>
      <c r="F207" s="10">
        <v>25644</v>
      </c>
      <c r="G207" s="10">
        <v>18664.03</v>
      </c>
      <c r="H207" s="10">
        <v>3462.28</v>
      </c>
      <c r="I207" s="8">
        <v>435</v>
      </c>
      <c r="J207" s="11">
        <v>0.05</v>
      </c>
      <c r="K207" s="10">
        <f t="shared" si="18"/>
        <v>6979.9700000000012</v>
      </c>
      <c r="L207" s="10">
        <f t="shared" si="19"/>
        <v>3517.690000000001</v>
      </c>
      <c r="M207" s="11">
        <f t="shared" si="20"/>
        <v>0.13717399781625336</v>
      </c>
      <c r="N207" s="8" t="str">
        <f t="shared" si="21"/>
        <v>May</v>
      </c>
      <c r="O207" s="8" t="str">
        <f t="shared" si="22"/>
        <v>Q2</v>
      </c>
      <c r="P207" s="8" t="str">
        <f t="shared" si="23"/>
        <v>2025</v>
      </c>
    </row>
    <row r="208" spans="1:16" x14ac:dyDescent="0.25">
      <c r="A208" s="9" t="s">
        <v>219</v>
      </c>
      <c r="B208" s="8" t="s">
        <v>24</v>
      </c>
      <c r="C208" s="8" t="s">
        <v>17</v>
      </c>
      <c r="D208" s="8" t="s">
        <v>13</v>
      </c>
      <c r="E208" s="8" t="s">
        <v>25</v>
      </c>
      <c r="F208" s="10">
        <v>19138</v>
      </c>
      <c r="G208" s="10">
        <v>8840.76</v>
      </c>
      <c r="H208" s="10">
        <v>1693.06</v>
      </c>
      <c r="I208" s="8">
        <v>414</v>
      </c>
      <c r="J208" s="11">
        <v>0.1</v>
      </c>
      <c r="K208" s="10">
        <f t="shared" si="18"/>
        <v>10297.24</v>
      </c>
      <c r="L208" s="10">
        <f t="shared" si="19"/>
        <v>8604.18</v>
      </c>
      <c r="M208" s="11">
        <f t="shared" si="20"/>
        <v>0.44958616365346432</v>
      </c>
      <c r="N208" s="8" t="str">
        <f t="shared" si="21"/>
        <v>May</v>
      </c>
      <c r="O208" s="8" t="str">
        <f t="shared" si="22"/>
        <v>Q2</v>
      </c>
      <c r="P208" s="8" t="str">
        <f t="shared" si="23"/>
        <v>2025</v>
      </c>
    </row>
    <row r="209" spans="1:16" x14ac:dyDescent="0.25">
      <c r="A209" s="9" t="s">
        <v>219</v>
      </c>
      <c r="B209" s="8" t="s">
        <v>11</v>
      </c>
      <c r="C209" s="8" t="s">
        <v>12</v>
      </c>
      <c r="D209" s="8" t="s">
        <v>27</v>
      </c>
      <c r="E209" s="8" t="s">
        <v>14</v>
      </c>
      <c r="F209" s="10">
        <v>33818</v>
      </c>
      <c r="G209" s="10">
        <v>19936.3</v>
      </c>
      <c r="H209" s="10">
        <v>3776.59</v>
      </c>
      <c r="I209" s="8">
        <v>147</v>
      </c>
      <c r="J209" s="11">
        <v>0.15</v>
      </c>
      <c r="K209" s="10">
        <f t="shared" si="18"/>
        <v>13881.7</v>
      </c>
      <c r="L209" s="10">
        <f t="shared" si="19"/>
        <v>10105.11</v>
      </c>
      <c r="M209" s="11">
        <f t="shared" si="20"/>
        <v>0.29880862262700336</v>
      </c>
      <c r="N209" s="8" t="str">
        <f t="shared" si="21"/>
        <v>May</v>
      </c>
      <c r="O209" s="8" t="str">
        <f t="shared" si="22"/>
        <v>Q2</v>
      </c>
      <c r="P209" s="8" t="str">
        <f t="shared" si="23"/>
        <v>2025</v>
      </c>
    </row>
    <row r="210" spans="1:16" x14ac:dyDescent="0.25">
      <c r="A210" s="9" t="s">
        <v>174</v>
      </c>
      <c r="B210" s="8" t="s">
        <v>16</v>
      </c>
      <c r="C210" s="8" t="s">
        <v>17</v>
      </c>
      <c r="D210" s="8" t="s">
        <v>22</v>
      </c>
      <c r="E210" s="8" t="s">
        <v>14</v>
      </c>
      <c r="F210" s="10">
        <v>28971</v>
      </c>
      <c r="G210" s="10">
        <v>19675.86</v>
      </c>
      <c r="H210" s="10">
        <v>3801.9</v>
      </c>
      <c r="I210" s="8">
        <v>215</v>
      </c>
      <c r="J210" s="11">
        <v>0</v>
      </c>
      <c r="K210" s="10">
        <f t="shared" si="18"/>
        <v>9295.14</v>
      </c>
      <c r="L210" s="10">
        <f t="shared" si="19"/>
        <v>5493.24</v>
      </c>
      <c r="M210" s="11">
        <f t="shared" si="20"/>
        <v>0.18961168064616341</v>
      </c>
      <c r="N210" s="8" t="str">
        <f t="shared" si="21"/>
        <v>May</v>
      </c>
      <c r="O210" s="8" t="str">
        <f t="shared" si="22"/>
        <v>Q2</v>
      </c>
      <c r="P210" s="8" t="str">
        <f t="shared" si="23"/>
        <v>2025</v>
      </c>
    </row>
    <row r="211" spans="1:16" x14ac:dyDescent="0.25">
      <c r="A211" s="9" t="s">
        <v>174</v>
      </c>
      <c r="B211" s="8" t="s">
        <v>24</v>
      </c>
      <c r="C211" s="8" t="s">
        <v>12</v>
      </c>
      <c r="D211" s="8" t="s">
        <v>13</v>
      </c>
      <c r="E211" s="8" t="s">
        <v>14</v>
      </c>
      <c r="F211" s="10">
        <v>10972</v>
      </c>
      <c r="G211" s="10">
        <v>7050.17</v>
      </c>
      <c r="H211" s="10">
        <v>1473.03</v>
      </c>
      <c r="I211" s="8">
        <v>199</v>
      </c>
      <c r="J211" s="11">
        <v>0.1</v>
      </c>
      <c r="K211" s="10">
        <f t="shared" si="18"/>
        <v>3921.83</v>
      </c>
      <c r="L211" s="10">
        <f t="shared" si="19"/>
        <v>2448.8000000000002</v>
      </c>
      <c r="M211" s="11">
        <f t="shared" si="20"/>
        <v>0.22318629238060519</v>
      </c>
      <c r="N211" s="8" t="str">
        <f t="shared" si="21"/>
        <v>May</v>
      </c>
      <c r="O211" s="8" t="str">
        <f t="shared" si="22"/>
        <v>Q2</v>
      </c>
      <c r="P211" s="8" t="str">
        <f t="shared" si="23"/>
        <v>2025</v>
      </c>
    </row>
    <row r="212" spans="1:16" x14ac:dyDescent="0.25">
      <c r="A212" s="9" t="s">
        <v>104</v>
      </c>
      <c r="B212" s="8" t="s">
        <v>21</v>
      </c>
      <c r="C212" s="8" t="s">
        <v>12</v>
      </c>
      <c r="D212" s="8" t="s">
        <v>13</v>
      </c>
      <c r="E212" s="8" t="s">
        <v>25</v>
      </c>
      <c r="F212" s="10">
        <v>5168</v>
      </c>
      <c r="G212" s="10">
        <v>2764.11</v>
      </c>
      <c r="H212" s="10">
        <v>629.45000000000005</v>
      </c>
      <c r="I212" s="8">
        <v>310</v>
      </c>
      <c r="J212" s="11">
        <v>0.15</v>
      </c>
      <c r="K212" s="10">
        <f t="shared" si="18"/>
        <v>2403.89</v>
      </c>
      <c r="L212" s="10">
        <f t="shared" si="19"/>
        <v>1774.4399999999998</v>
      </c>
      <c r="M212" s="11">
        <f t="shared" si="20"/>
        <v>0.34335139318885444</v>
      </c>
      <c r="N212" s="8" t="str">
        <f t="shared" si="21"/>
        <v>May</v>
      </c>
      <c r="O212" s="8" t="str">
        <f t="shared" si="22"/>
        <v>Q2</v>
      </c>
      <c r="P212" s="8" t="str">
        <f t="shared" si="23"/>
        <v>2025</v>
      </c>
    </row>
    <row r="213" spans="1:16" x14ac:dyDescent="0.25">
      <c r="A213" s="9" t="s">
        <v>223</v>
      </c>
      <c r="B213" s="8" t="s">
        <v>24</v>
      </c>
      <c r="C213" s="8" t="s">
        <v>12</v>
      </c>
      <c r="D213" s="8" t="s">
        <v>22</v>
      </c>
      <c r="E213" s="8" t="s">
        <v>25</v>
      </c>
      <c r="F213" s="10">
        <v>12736</v>
      </c>
      <c r="G213" s="10">
        <v>8678.68</v>
      </c>
      <c r="H213" s="10">
        <v>1071.22</v>
      </c>
      <c r="I213" s="8">
        <v>423</v>
      </c>
      <c r="J213" s="11">
        <v>0.1</v>
      </c>
      <c r="K213" s="10">
        <f t="shared" si="18"/>
        <v>4057.3199999999997</v>
      </c>
      <c r="L213" s="10">
        <f t="shared" si="19"/>
        <v>2986.0999999999995</v>
      </c>
      <c r="M213" s="11">
        <f t="shared" si="20"/>
        <v>0.23446136934673362</v>
      </c>
      <c r="N213" s="8" t="str">
        <f t="shared" si="21"/>
        <v>May</v>
      </c>
      <c r="O213" s="8" t="str">
        <f t="shared" si="22"/>
        <v>Q2</v>
      </c>
      <c r="P213" s="8" t="str">
        <f t="shared" si="23"/>
        <v>2025</v>
      </c>
    </row>
    <row r="214" spans="1:16" x14ac:dyDescent="0.25">
      <c r="A214" s="9" t="s">
        <v>133</v>
      </c>
      <c r="B214" s="8" t="s">
        <v>21</v>
      </c>
      <c r="C214" s="8" t="s">
        <v>12</v>
      </c>
      <c r="D214" s="8" t="s">
        <v>18</v>
      </c>
      <c r="E214" s="8" t="s">
        <v>25</v>
      </c>
      <c r="F214" s="10">
        <v>25249</v>
      </c>
      <c r="G214" s="10">
        <v>18342.419999999998</v>
      </c>
      <c r="H214" s="10">
        <v>3260.74</v>
      </c>
      <c r="I214" s="8">
        <v>102</v>
      </c>
      <c r="J214" s="11">
        <v>0.02</v>
      </c>
      <c r="K214" s="10">
        <f t="shared" si="18"/>
        <v>6906.5800000000017</v>
      </c>
      <c r="L214" s="10">
        <f t="shared" si="19"/>
        <v>3645.840000000002</v>
      </c>
      <c r="M214" s="11">
        <f t="shared" si="20"/>
        <v>0.14439542160085556</v>
      </c>
      <c r="N214" s="8" t="str">
        <f t="shared" si="21"/>
        <v>May</v>
      </c>
      <c r="O214" s="8" t="str">
        <f t="shared" si="22"/>
        <v>Q2</v>
      </c>
      <c r="P214" s="8" t="str">
        <f t="shared" si="23"/>
        <v>2025</v>
      </c>
    </row>
    <row r="215" spans="1:16" x14ac:dyDescent="0.25">
      <c r="A215" s="9" t="s">
        <v>217</v>
      </c>
      <c r="B215" s="8" t="s">
        <v>11</v>
      </c>
      <c r="C215" s="8" t="s">
        <v>17</v>
      </c>
      <c r="D215" s="8" t="s">
        <v>22</v>
      </c>
      <c r="E215" s="8" t="s">
        <v>25</v>
      </c>
      <c r="F215" s="10">
        <v>11117</v>
      </c>
      <c r="G215" s="10">
        <v>7185.77</v>
      </c>
      <c r="H215" s="10">
        <v>1279.06</v>
      </c>
      <c r="I215" s="8">
        <v>200</v>
      </c>
      <c r="J215" s="11">
        <v>0.02</v>
      </c>
      <c r="K215" s="10">
        <f t="shared" si="18"/>
        <v>3931.2299999999996</v>
      </c>
      <c r="L215" s="10">
        <f t="shared" si="19"/>
        <v>2652.1699999999996</v>
      </c>
      <c r="M215" s="11">
        <f t="shared" si="20"/>
        <v>0.23856885850499232</v>
      </c>
      <c r="N215" s="8" t="str">
        <f t="shared" si="21"/>
        <v>May</v>
      </c>
      <c r="O215" s="8" t="str">
        <f t="shared" si="22"/>
        <v>Q2</v>
      </c>
      <c r="P215" s="8" t="str">
        <f t="shared" si="23"/>
        <v>2025</v>
      </c>
    </row>
    <row r="216" spans="1:16" x14ac:dyDescent="0.25">
      <c r="A216" s="9" t="s">
        <v>217</v>
      </c>
      <c r="B216" s="8" t="s">
        <v>21</v>
      </c>
      <c r="C216" s="8" t="s">
        <v>12</v>
      </c>
      <c r="D216" s="8" t="s">
        <v>18</v>
      </c>
      <c r="E216" s="8" t="s">
        <v>25</v>
      </c>
      <c r="F216" s="10">
        <v>18722</v>
      </c>
      <c r="G216" s="10">
        <v>12700.22</v>
      </c>
      <c r="H216" s="10">
        <v>1939.69</v>
      </c>
      <c r="I216" s="8">
        <v>401</v>
      </c>
      <c r="J216" s="11">
        <v>0.02</v>
      </c>
      <c r="K216" s="10">
        <f t="shared" si="18"/>
        <v>6021.7800000000007</v>
      </c>
      <c r="L216" s="10">
        <f t="shared" si="19"/>
        <v>4082.0900000000006</v>
      </c>
      <c r="M216" s="11">
        <f t="shared" si="20"/>
        <v>0.21803706868924264</v>
      </c>
      <c r="N216" s="8" t="str">
        <f t="shared" si="21"/>
        <v>May</v>
      </c>
      <c r="O216" s="8" t="str">
        <f t="shared" si="22"/>
        <v>Q2</v>
      </c>
      <c r="P216" s="8" t="str">
        <f t="shared" si="23"/>
        <v>2025</v>
      </c>
    </row>
    <row r="217" spans="1:16" x14ac:dyDescent="0.25">
      <c r="A217" s="9" t="s">
        <v>252</v>
      </c>
      <c r="B217" s="8" t="s">
        <v>16</v>
      </c>
      <c r="C217" s="8" t="s">
        <v>12</v>
      </c>
      <c r="D217" s="8" t="s">
        <v>18</v>
      </c>
      <c r="E217" s="8" t="s">
        <v>14</v>
      </c>
      <c r="F217" s="10">
        <v>46982</v>
      </c>
      <c r="G217" s="10">
        <v>25724.58</v>
      </c>
      <c r="H217" s="10">
        <v>5579.77</v>
      </c>
      <c r="I217" s="8">
        <v>345</v>
      </c>
      <c r="J217" s="11">
        <v>0.05</v>
      </c>
      <c r="K217" s="10">
        <f t="shared" si="18"/>
        <v>21257.42</v>
      </c>
      <c r="L217" s="10">
        <f t="shared" si="19"/>
        <v>15677.649999999998</v>
      </c>
      <c r="M217" s="11">
        <f t="shared" si="20"/>
        <v>0.33369481929249495</v>
      </c>
      <c r="N217" s="8" t="str">
        <f t="shared" si="21"/>
        <v>May</v>
      </c>
      <c r="O217" s="8" t="str">
        <f t="shared" si="22"/>
        <v>Q2</v>
      </c>
      <c r="P217" s="8" t="str">
        <f t="shared" si="23"/>
        <v>2025</v>
      </c>
    </row>
    <row r="218" spans="1:16" x14ac:dyDescent="0.25">
      <c r="A218" s="9" t="s">
        <v>44</v>
      </c>
      <c r="B218" s="8" t="s">
        <v>11</v>
      </c>
      <c r="C218" s="8" t="s">
        <v>12</v>
      </c>
      <c r="D218" s="8" t="s">
        <v>27</v>
      </c>
      <c r="E218" s="8" t="s">
        <v>14</v>
      </c>
      <c r="F218" s="10">
        <v>35318</v>
      </c>
      <c r="G218" s="10">
        <v>18539.900000000001</v>
      </c>
      <c r="H218" s="10">
        <v>7390.55</v>
      </c>
      <c r="I218" s="8">
        <v>236</v>
      </c>
      <c r="J218" s="11">
        <v>0.15</v>
      </c>
      <c r="K218" s="10">
        <f t="shared" si="18"/>
        <v>16778.099999999999</v>
      </c>
      <c r="L218" s="10">
        <f t="shared" si="19"/>
        <v>9387.5499999999993</v>
      </c>
      <c r="M218" s="11">
        <f t="shared" si="20"/>
        <v>0.26580072484285633</v>
      </c>
      <c r="N218" s="8" t="str">
        <f t="shared" si="21"/>
        <v>May</v>
      </c>
      <c r="O218" s="8" t="str">
        <f t="shared" si="22"/>
        <v>Q2</v>
      </c>
      <c r="P218" s="8" t="str">
        <f t="shared" si="23"/>
        <v>2025</v>
      </c>
    </row>
    <row r="219" spans="1:16" x14ac:dyDescent="0.25">
      <c r="A219" s="9" t="s">
        <v>44</v>
      </c>
      <c r="B219" s="8" t="s">
        <v>11</v>
      </c>
      <c r="C219" s="8" t="s">
        <v>17</v>
      </c>
      <c r="D219" s="8" t="s">
        <v>13</v>
      </c>
      <c r="E219" s="8" t="s">
        <v>25</v>
      </c>
      <c r="F219" s="10">
        <v>41477</v>
      </c>
      <c r="G219" s="10">
        <v>21952.61</v>
      </c>
      <c r="H219" s="10">
        <v>4252.6400000000003</v>
      </c>
      <c r="I219" s="8">
        <v>443</v>
      </c>
      <c r="J219" s="11">
        <v>0.05</v>
      </c>
      <c r="K219" s="10">
        <f t="shared" si="18"/>
        <v>19524.39</v>
      </c>
      <c r="L219" s="10">
        <f t="shared" si="19"/>
        <v>15271.75</v>
      </c>
      <c r="M219" s="11">
        <f t="shared" si="20"/>
        <v>0.36819803746654772</v>
      </c>
      <c r="N219" s="8" t="str">
        <f t="shared" si="21"/>
        <v>May</v>
      </c>
      <c r="O219" s="8" t="str">
        <f t="shared" si="22"/>
        <v>Q2</v>
      </c>
      <c r="P219" s="8" t="str">
        <f t="shared" si="23"/>
        <v>2025</v>
      </c>
    </row>
    <row r="220" spans="1:16" x14ac:dyDescent="0.25">
      <c r="A220" s="9" t="s">
        <v>280</v>
      </c>
      <c r="B220" s="8" t="s">
        <v>21</v>
      </c>
      <c r="C220" s="8" t="s">
        <v>17</v>
      </c>
      <c r="D220" s="8" t="s">
        <v>27</v>
      </c>
      <c r="E220" s="8" t="s">
        <v>25</v>
      </c>
      <c r="F220" s="10">
        <v>31075</v>
      </c>
      <c r="G220" s="10">
        <v>16054.21</v>
      </c>
      <c r="H220" s="10">
        <v>4994.78</v>
      </c>
      <c r="I220" s="8">
        <v>37</v>
      </c>
      <c r="J220" s="11">
        <v>0.15</v>
      </c>
      <c r="K220" s="10">
        <f t="shared" si="18"/>
        <v>15020.79</v>
      </c>
      <c r="L220" s="10">
        <f t="shared" si="19"/>
        <v>10026.010000000002</v>
      </c>
      <c r="M220" s="11">
        <f t="shared" si="20"/>
        <v>0.32263909895414328</v>
      </c>
      <c r="N220" s="8" t="str">
        <f t="shared" si="21"/>
        <v>May</v>
      </c>
      <c r="O220" s="8" t="str">
        <f t="shared" si="22"/>
        <v>Q2</v>
      </c>
      <c r="P220" s="8" t="str">
        <f t="shared" si="23"/>
        <v>2025</v>
      </c>
    </row>
    <row r="221" spans="1:16" x14ac:dyDescent="0.25">
      <c r="A221" s="9" t="s">
        <v>189</v>
      </c>
      <c r="B221" s="8" t="s">
        <v>24</v>
      </c>
      <c r="C221" s="8" t="s">
        <v>17</v>
      </c>
      <c r="D221" s="8" t="s">
        <v>13</v>
      </c>
      <c r="E221" s="8" t="s">
        <v>19</v>
      </c>
      <c r="F221" s="10">
        <v>31795</v>
      </c>
      <c r="G221" s="10">
        <v>16024.5</v>
      </c>
      <c r="H221" s="10">
        <v>3146.43</v>
      </c>
      <c r="I221" s="8">
        <v>338</v>
      </c>
      <c r="J221" s="11">
        <v>0.1</v>
      </c>
      <c r="K221" s="10">
        <f t="shared" si="18"/>
        <v>15770.5</v>
      </c>
      <c r="L221" s="10">
        <f t="shared" si="19"/>
        <v>12624.07</v>
      </c>
      <c r="M221" s="11">
        <f t="shared" si="20"/>
        <v>0.39704576191225033</v>
      </c>
      <c r="N221" s="8" t="str">
        <f t="shared" si="21"/>
        <v>May</v>
      </c>
      <c r="O221" s="8" t="str">
        <f t="shared" si="22"/>
        <v>Q2</v>
      </c>
      <c r="P221" s="8" t="str">
        <f t="shared" si="23"/>
        <v>2025</v>
      </c>
    </row>
    <row r="222" spans="1:16" x14ac:dyDescent="0.25">
      <c r="A222" s="9" t="s">
        <v>103</v>
      </c>
      <c r="B222" s="8" t="s">
        <v>16</v>
      </c>
      <c r="C222" s="8" t="s">
        <v>17</v>
      </c>
      <c r="D222" s="8" t="s">
        <v>18</v>
      </c>
      <c r="E222" s="8" t="s">
        <v>19</v>
      </c>
      <c r="F222" s="10">
        <v>38349</v>
      </c>
      <c r="G222" s="10">
        <v>25372.6</v>
      </c>
      <c r="H222" s="10">
        <v>5298.63</v>
      </c>
      <c r="I222" s="8">
        <v>257</v>
      </c>
      <c r="J222" s="11">
        <v>0.1</v>
      </c>
      <c r="K222" s="10">
        <f t="shared" si="18"/>
        <v>12976.400000000001</v>
      </c>
      <c r="L222" s="10">
        <f t="shared" si="19"/>
        <v>7677.7700000000013</v>
      </c>
      <c r="M222" s="11">
        <f t="shared" si="20"/>
        <v>0.20020782810503537</v>
      </c>
      <c r="N222" s="8" t="str">
        <f t="shared" si="21"/>
        <v>May</v>
      </c>
      <c r="O222" s="8" t="str">
        <f t="shared" si="22"/>
        <v>Q2</v>
      </c>
      <c r="P222" s="8" t="str">
        <f t="shared" si="23"/>
        <v>2025</v>
      </c>
    </row>
    <row r="223" spans="1:16" x14ac:dyDescent="0.25">
      <c r="A223" s="9" t="s">
        <v>279</v>
      </c>
      <c r="B223" s="8" t="s">
        <v>24</v>
      </c>
      <c r="C223" s="8" t="s">
        <v>17</v>
      </c>
      <c r="D223" s="8" t="s">
        <v>13</v>
      </c>
      <c r="E223" s="8" t="s">
        <v>25</v>
      </c>
      <c r="F223" s="10">
        <v>27280</v>
      </c>
      <c r="G223" s="10">
        <v>20026.37</v>
      </c>
      <c r="H223" s="10">
        <v>5249</v>
      </c>
      <c r="I223" s="8">
        <v>499</v>
      </c>
      <c r="J223" s="11">
        <v>0.05</v>
      </c>
      <c r="K223" s="10">
        <f t="shared" si="18"/>
        <v>7253.630000000001</v>
      </c>
      <c r="L223" s="10">
        <f t="shared" si="19"/>
        <v>2004.630000000001</v>
      </c>
      <c r="M223" s="11">
        <f t="shared" si="20"/>
        <v>7.3483504398827018E-2</v>
      </c>
      <c r="N223" s="8" t="str">
        <f t="shared" si="21"/>
        <v>May</v>
      </c>
      <c r="O223" s="8" t="str">
        <f t="shared" si="22"/>
        <v>Q2</v>
      </c>
      <c r="P223" s="8" t="str">
        <f t="shared" si="23"/>
        <v>2025</v>
      </c>
    </row>
    <row r="224" spans="1:16" x14ac:dyDescent="0.25">
      <c r="A224" s="9" t="s">
        <v>266</v>
      </c>
      <c r="B224" s="8" t="s">
        <v>16</v>
      </c>
      <c r="C224" s="8" t="s">
        <v>12</v>
      </c>
      <c r="D224" s="8" t="s">
        <v>27</v>
      </c>
      <c r="E224" s="8" t="s">
        <v>14</v>
      </c>
      <c r="F224" s="10">
        <v>47698</v>
      </c>
      <c r="G224" s="10">
        <v>24218.84</v>
      </c>
      <c r="H224" s="10">
        <v>7247.48</v>
      </c>
      <c r="I224" s="8">
        <v>495</v>
      </c>
      <c r="J224" s="11">
        <v>0</v>
      </c>
      <c r="K224" s="10">
        <f t="shared" si="18"/>
        <v>23479.16</v>
      </c>
      <c r="L224" s="10">
        <f t="shared" si="19"/>
        <v>16231.68</v>
      </c>
      <c r="M224" s="11">
        <f t="shared" si="20"/>
        <v>0.34030106084112544</v>
      </c>
      <c r="N224" s="8" t="str">
        <f t="shared" si="21"/>
        <v>June</v>
      </c>
      <c r="O224" s="8" t="str">
        <f t="shared" si="22"/>
        <v>Q2</v>
      </c>
      <c r="P224" s="8" t="str">
        <f t="shared" si="23"/>
        <v>2025</v>
      </c>
    </row>
    <row r="225" spans="1:16" x14ac:dyDescent="0.25">
      <c r="A225" s="9" t="s">
        <v>77</v>
      </c>
      <c r="B225" s="8" t="s">
        <v>16</v>
      </c>
      <c r="C225" s="8" t="s">
        <v>17</v>
      </c>
      <c r="D225" s="8" t="s">
        <v>18</v>
      </c>
      <c r="E225" s="8" t="s">
        <v>19</v>
      </c>
      <c r="F225" s="10">
        <v>30558</v>
      </c>
      <c r="G225" s="10">
        <v>21575</v>
      </c>
      <c r="H225" s="10">
        <v>6523.53</v>
      </c>
      <c r="I225" s="8">
        <v>224</v>
      </c>
      <c r="J225" s="11">
        <v>0.15</v>
      </c>
      <c r="K225" s="10">
        <f t="shared" si="18"/>
        <v>8983</v>
      </c>
      <c r="L225" s="10">
        <f t="shared" si="19"/>
        <v>2459.4700000000003</v>
      </c>
      <c r="M225" s="11">
        <f t="shared" si="20"/>
        <v>8.048530663001506E-2</v>
      </c>
      <c r="N225" s="8" t="str">
        <f t="shared" si="21"/>
        <v>June</v>
      </c>
      <c r="O225" s="8" t="str">
        <f t="shared" si="22"/>
        <v>Q2</v>
      </c>
      <c r="P225" s="8" t="str">
        <f t="shared" si="23"/>
        <v>2025</v>
      </c>
    </row>
    <row r="226" spans="1:16" x14ac:dyDescent="0.25">
      <c r="A226" s="9" t="s">
        <v>77</v>
      </c>
      <c r="B226" s="8" t="s">
        <v>24</v>
      </c>
      <c r="C226" s="8" t="s">
        <v>17</v>
      </c>
      <c r="D226" s="8" t="s">
        <v>13</v>
      </c>
      <c r="E226" s="8" t="s">
        <v>14</v>
      </c>
      <c r="F226" s="10">
        <v>32073</v>
      </c>
      <c r="G226" s="10">
        <v>14953.03</v>
      </c>
      <c r="H226" s="10">
        <v>6401.56</v>
      </c>
      <c r="I226" s="8">
        <v>80</v>
      </c>
      <c r="J226" s="11">
        <v>0.02</v>
      </c>
      <c r="K226" s="10">
        <f t="shared" si="18"/>
        <v>17119.97</v>
      </c>
      <c r="L226" s="10">
        <f t="shared" si="19"/>
        <v>10718.41</v>
      </c>
      <c r="M226" s="11">
        <f t="shared" si="20"/>
        <v>0.3341879462476226</v>
      </c>
      <c r="N226" s="8" t="str">
        <f t="shared" si="21"/>
        <v>June</v>
      </c>
      <c r="O226" s="8" t="str">
        <f t="shared" si="22"/>
        <v>Q2</v>
      </c>
      <c r="P226" s="8" t="str">
        <f t="shared" si="23"/>
        <v>2025</v>
      </c>
    </row>
    <row r="227" spans="1:16" x14ac:dyDescent="0.25">
      <c r="A227" s="9" t="s">
        <v>77</v>
      </c>
      <c r="B227" s="8" t="s">
        <v>21</v>
      </c>
      <c r="C227" s="8" t="s">
        <v>12</v>
      </c>
      <c r="D227" s="8" t="s">
        <v>22</v>
      </c>
      <c r="E227" s="8" t="s">
        <v>19</v>
      </c>
      <c r="F227" s="10">
        <v>24059</v>
      </c>
      <c r="G227" s="10">
        <v>14117.29</v>
      </c>
      <c r="H227" s="10">
        <v>3677.19</v>
      </c>
      <c r="I227" s="8">
        <v>278</v>
      </c>
      <c r="J227" s="11">
        <v>0.05</v>
      </c>
      <c r="K227" s="10">
        <f t="shared" si="18"/>
        <v>9941.7099999999991</v>
      </c>
      <c r="L227" s="10">
        <f t="shared" si="19"/>
        <v>6264.5199999999986</v>
      </c>
      <c r="M227" s="11">
        <f t="shared" si="20"/>
        <v>0.26038156199343276</v>
      </c>
      <c r="N227" s="8" t="str">
        <f t="shared" si="21"/>
        <v>June</v>
      </c>
      <c r="O227" s="8" t="str">
        <f t="shared" si="22"/>
        <v>Q2</v>
      </c>
      <c r="P227" s="8" t="str">
        <f t="shared" si="23"/>
        <v>2025</v>
      </c>
    </row>
    <row r="228" spans="1:16" x14ac:dyDescent="0.25">
      <c r="A228" s="9" t="s">
        <v>122</v>
      </c>
      <c r="B228" s="8" t="s">
        <v>24</v>
      </c>
      <c r="C228" s="8" t="s">
        <v>17</v>
      </c>
      <c r="D228" s="8" t="s">
        <v>27</v>
      </c>
      <c r="E228" s="8" t="s">
        <v>14</v>
      </c>
      <c r="F228" s="10">
        <v>47548</v>
      </c>
      <c r="G228" s="10">
        <v>27220.7</v>
      </c>
      <c r="H228" s="10">
        <v>4734.3</v>
      </c>
      <c r="I228" s="8">
        <v>494</v>
      </c>
      <c r="J228" s="11">
        <v>0</v>
      </c>
      <c r="K228" s="10">
        <f t="shared" si="18"/>
        <v>20327.3</v>
      </c>
      <c r="L228" s="10">
        <f t="shared" si="19"/>
        <v>15593</v>
      </c>
      <c r="M228" s="11">
        <f t="shared" si="20"/>
        <v>0.32794228989652563</v>
      </c>
      <c r="N228" s="8" t="str">
        <f t="shared" si="21"/>
        <v>June</v>
      </c>
      <c r="O228" s="8" t="str">
        <f t="shared" si="22"/>
        <v>Q2</v>
      </c>
      <c r="P228" s="8" t="str">
        <f t="shared" si="23"/>
        <v>2025</v>
      </c>
    </row>
    <row r="229" spans="1:16" x14ac:dyDescent="0.25">
      <c r="A229" s="9" t="s">
        <v>122</v>
      </c>
      <c r="B229" s="8" t="s">
        <v>21</v>
      </c>
      <c r="C229" s="8" t="s">
        <v>12</v>
      </c>
      <c r="D229" s="8" t="s">
        <v>27</v>
      </c>
      <c r="E229" s="8" t="s">
        <v>14</v>
      </c>
      <c r="F229" s="10">
        <v>36650</v>
      </c>
      <c r="G229" s="10">
        <v>19184.93</v>
      </c>
      <c r="H229" s="10">
        <v>7074.51</v>
      </c>
      <c r="I229" s="8">
        <v>217</v>
      </c>
      <c r="J229" s="11">
        <v>0.05</v>
      </c>
      <c r="K229" s="10">
        <f t="shared" si="18"/>
        <v>17465.07</v>
      </c>
      <c r="L229" s="10">
        <f t="shared" si="19"/>
        <v>10390.56</v>
      </c>
      <c r="M229" s="11">
        <f t="shared" si="20"/>
        <v>0.28350777626193724</v>
      </c>
      <c r="N229" s="8" t="str">
        <f t="shared" si="21"/>
        <v>June</v>
      </c>
      <c r="O229" s="8" t="str">
        <f t="shared" si="22"/>
        <v>Q2</v>
      </c>
      <c r="P229" s="8" t="str">
        <f t="shared" si="23"/>
        <v>2025</v>
      </c>
    </row>
    <row r="230" spans="1:16" x14ac:dyDescent="0.25">
      <c r="A230" s="9" t="s">
        <v>227</v>
      </c>
      <c r="B230" s="8" t="s">
        <v>11</v>
      </c>
      <c r="C230" s="8" t="s">
        <v>12</v>
      </c>
      <c r="D230" s="8" t="s">
        <v>22</v>
      </c>
      <c r="E230" s="8" t="s">
        <v>14</v>
      </c>
      <c r="F230" s="10">
        <v>11812</v>
      </c>
      <c r="G230" s="10">
        <v>6042.53</v>
      </c>
      <c r="H230" s="10">
        <v>2570.7199999999998</v>
      </c>
      <c r="I230" s="8">
        <v>224</v>
      </c>
      <c r="J230" s="11">
        <v>0.1</v>
      </c>
      <c r="K230" s="10">
        <f t="shared" si="18"/>
        <v>5769.47</v>
      </c>
      <c r="L230" s="10">
        <f t="shared" si="19"/>
        <v>3198.7500000000005</v>
      </c>
      <c r="M230" s="11">
        <f t="shared" si="20"/>
        <v>0.27080511344395536</v>
      </c>
      <c r="N230" s="8" t="str">
        <f t="shared" si="21"/>
        <v>June</v>
      </c>
      <c r="O230" s="8" t="str">
        <f t="shared" si="22"/>
        <v>Q2</v>
      </c>
      <c r="P230" s="8" t="str">
        <f t="shared" si="23"/>
        <v>2025</v>
      </c>
    </row>
    <row r="231" spans="1:16" x14ac:dyDescent="0.25">
      <c r="A231" s="9" t="s">
        <v>227</v>
      </c>
      <c r="B231" s="8" t="s">
        <v>21</v>
      </c>
      <c r="C231" s="8" t="s">
        <v>12</v>
      </c>
      <c r="D231" s="8" t="s">
        <v>18</v>
      </c>
      <c r="E231" s="8" t="s">
        <v>25</v>
      </c>
      <c r="F231" s="10">
        <v>24301</v>
      </c>
      <c r="G231" s="10">
        <v>11863.86</v>
      </c>
      <c r="H231" s="10">
        <v>4423.66</v>
      </c>
      <c r="I231" s="8">
        <v>495</v>
      </c>
      <c r="J231" s="11">
        <v>0.15</v>
      </c>
      <c r="K231" s="10">
        <f t="shared" si="18"/>
        <v>12437.14</v>
      </c>
      <c r="L231" s="10">
        <f t="shared" si="19"/>
        <v>8013.48</v>
      </c>
      <c r="M231" s="11">
        <f t="shared" si="20"/>
        <v>0.32975926916587794</v>
      </c>
      <c r="N231" s="8" t="str">
        <f t="shared" si="21"/>
        <v>June</v>
      </c>
      <c r="O231" s="8" t="str">
        <f t="shared" si="22"/>
        <v>Q2</v>
      </c>
      <c r="P231" s="8" t="str">
        <f t="shared" si="23"/>
        <v>2025</v>
      </c>
    </row>
    <row r="232" spans="1:16" x14ac:dyDescent="0.25">
      <c r="A232" s="9" t="s">
        <v>134</v>
      </c>
      <c r="B232" s="8" t="s">
        <v>16</v>
      </c>
      <c r="C232" s="8" t="s">
        <v>12</v>
      </c>
      <c r="D232" s="8" t="s">
        <v>27</v>
      </c>
      <c r="E232" s="8" t="s">
        <v>25</v>
      </c>
      <c r="F232" s="10">
        <v>26258</v>
      </c>
      <c r="G232" s="10">
        <v>17935.54</v>
      </c>
      <c r="H232" s="10">
        <v>4187.18</v>
      </c>
      <c r="I232" s="8">
        <v>53</v>
      </c>
      <c r="J232" s="11">
        <v>0</v>
      </c>
      <c r="K232" s="10">
        <f t="shared" si="18"/>
        <v>8322.4599999999991</v>
      </c>
      <c r="L232" s="10">
        <f t="shared" si="19"/>
        <v>4135.2799999999988</v>
      </c>
      <c r="M232" s="11">
        <f t="shared" si="20"/>
        <v>0.1574864803107624</v>
      </c>
      <c r="N232" s="8" t="str">
        <f t="shared" si="21"/>
        <v>June</v>
      </c>
      <c r="O232" s="8" t="str">
        <f t="shared" si="22"/>
        <v>Q2</v>
      </c>
      <c r="P232" s="8" t="str">
        <f t="shared" si="23"/>
        <v>2025</v>
      </c>
    </row>
    <row r="233" spans="1:16" x14ac:dyDescent="0.25">
      <c r="A233" s="9" t="s">
        <v>230</v>
      </c>
      <c r="B233" s="8" t="s">
        <v>21</v>
      </c>
      <c r="C233" s="8" t="s">
        <v>17</v>
      </c>
      <c r="D233" s="8" t="s">
        <v>13</v>
      </c>
      <c r="E233" s="8" t="s">
        <v>19</v>
      </c>
      <c r="F233" s="10">
        <v>31641</v>
      </c>
      <c r="G233" s="10">
        <v>15384.52</v>
      </c>
      <c r="H233" s="10">
        <v>4118.3999999999996</v>
      </c>
      <c r="I233" s="8">
        <v>404</v>
      </c>
      <c r="J233" s="11">
        <v>0.02</v>
      </c>
      <c r="K233" s="10">
        <f t="shared" si="18"/>
        <v>16256.48</v>
      </c>
      <c r="L233" s="10">
        <f t="shared" si="19"/>
        <v>12138.08</v>
      </c>
      <c r="M233" s="11">
        <f t="shared" si="20"/>
        <v>0.3836187225435353</v>
      </c>
      <c r="N233" s="8" t="str">
        <f t="shared" si="21"/>
        <v>June</v>
      </c>
      <c r="O233" s="8" t="str">
        <f t="shared" si="22"/>
        <v>Q2</v>
      </c>
      <c r="P233" s="8" t="str">
        <f t="shared" si="23"/>
        <v>2025</v>
      </c>
    </row>
    <row r="234" spans="1:16" x14ac:dyDescent="0.25">
      <c r="A234" s="9" t="s">
        <v>255</v>
      </c>
      <c r="B234" s="8" t="s">
        <v>24</v>
      </c>
      <c r="C234" s="8" t="s">
        <v>12</v>
      </c>
      <c r="D234" s="8" t="s">
        <v>27</v>
      </c>
      <c r="E234" s="8" t="s">
        <v>19</v>
      </c>
      <c r="F234" s="10">
        <v>16819</v>
      </c>
      <c r="G234" s="10">
        <v>11498.85</v>
      </c>
      <c r="H234" s="10">
        <v>2493.61</v>
      </c>
      <c r="I234" s="8">
        <v>333</v>
      </c>
      <c r="J234" s="11">
        <v>0.02</v>
      </c>
      <c r="K234" s="10">
        <f t="shared" si="18"/>
        <v>5320.15</v>
      </c>
      <c r="L234" s="10">
        <f t="shared" si="19"/>
        <v>2826.5399999999995</v>
      </c>
      <c r="M234" s="11">
        <f t="shared" si="20"/>
        <v>0.16805636482549494</v>
      </c>
      <c r="N234" s="8" t="str">
        <f t="shared" si="21"/>
        <v>June</v>
      </c>
      <c r="O234" s="8" t="str">
        <f t="shared" si="22"/>
        <v>Q2</v>
      </c>
      <c r="P234" s="8" t="str">
        <f t="shared" si="23"/>
        <v>2025</v>
      </c>
    </row>
    <row r="235" spans="1:16" x14ac:dyDescent="0.25">
      <c r="A235" s="9" t="s">
        <v>255</v>
      </c>
      <c r="B235" s="8" t="s">
        <v>11</v>
      </c>
      <c r="C235" s="8" t="s">
        <v>12</v>
      </c>
      <c r="D235" s="8" t="s">
        <v>27</v>
      </c>
      <c r="E235" s="8" t="s">
        <v>19</v>
      </c>
      <c r="F235" s="10">
        <v>6106</v>
      </c>
      <c r="G235" s="10">
        <v>3461.19</v>
      </c>
      <c r="H235" s="10">
        <v>589.61</v>
      </c>
      <c r="I235" s="8">
        <v>13</v>
      </c>
      <c r="J235" s="11">
        <v>0.15</v>
      </c>
      <c r="K235" s="10">
        <f t="shared" si="18"/>
        <v>2644.81</v>
      </c>
      <c r="L235" s="10">
        <f t="shared" si="19"/>
        <v>2055.1999999999998</v>
      </c>
      <c r="M235" s="11">
        <f t="shared" si="20"/>
        <v>0.33658696364231899</v>
      </c>
      <c r="N235" s="8" t="str">
        <f t="shared" si="21"/>
        <v>June</v>
      </c>
      <c r="O235" s="8" t="str">
        <f t="shared" si="22"/>
        <v>Q2</v>
      </c>
      <c r="P235" s="8" t="str">
        <f t="shared" si="23"/>
        <v>2025</v>
      </c>
    </row>
    <row r="236" spans="1:16" x14ac:dyDescent="0.25">
      <c r="A236" s="9" t="s">
        <v>237</v>
      </c>
      <c r="B236" s="8" t="s">
        <v>24</v>
      </c>
      <c r="C236" s="8" t="s">
        <v>12</v>
      </c>
      <c r="D236" s="8" t="s">
        <v>18</v>
      </c>
      <c r="E236" s="8" t="s">
        <v>19</v>
      </c>
      <c r="F236" s="10">
        <v>16416</v>
      </c>
      <c r="G236" s="10">
        <v>10869.93</v>
      </c>
      <c r="H236" s="10">
        <v>2604.84</v>
      </c>
      <c r="I236" s="8">
        <v>465</v>
      </c>
      <c r="J236" s="11">
        <v>0.15</v>
      </c>
      <c r="K236" s="10">
        <f t="shared" si="18"/>
        <v>5546.07</v>
      </c>
      <c r="L236" s="10">
        <f t="shared" si="19"/>
        <v>2941.2299999999996</v>
      </c>
      <c r="M236" s="11">
        <f t="shared" si="20"/>
        <v>0.17916849415204675</v>
      </c>
      <c r="N236" s="8" t="str">
        <f t="shared" si="21"/>
        <v>June</v>
      </c>
      <c r="O236" s="8" t="str">
        <f t="shared" si="22"/>
        <v>Q2</v>
      </c>
      <c r="P236" s="8" t="str">
        <f t="shared" si="23"/>
        <v>2025</v>
      </c>
    </row>
    <row r="237" spans="1:16" x14ac:dyDescent="0.25">
      <c r="A237" s="9" t="s">
        <v>237</v>
      </c>
      <c r="B237" s="8" t="s">
        <v>16</v>
      </c>
      <c r="C237" s="8" t="s">
        <v>17</v>
      </c>
      <c r="D237" s="8" t="s">
        <v>27</v>
      </c>
      <c r="E237" s="8" t="s">
        <v>14</v>
      </c>
      <c r="F237" s="10">
        <v>45067</v>
      </c>
      <c r="G237" s="10">
        <v>23266.68</v>
      </c>
      <c r="H237" s="10">
        <v>7173.63</v>
      </c>
      <c r="I237" s="8">
        <v>489</v>
      </c>
      <c r="J237" s="11">
        <v>0.1</v>
      </c>
      <c r="K237" s="10">
        <f t="shared" si="18"/>
        <v>21800.32</v>
      </c>
      <c r="L237" s="10">
        <f t="shared" si="19"/>
        <v>14626.689999999999</v>
      </c>
      <c r="M237" s="11">
        <f t="shared" si="20"/>
        <v>0.32455433021945101</v>
      </c>
      <c r="N237" s="8" t="str">
        <f t="shared" si="21"/>
        <v>June</v>
      </c>
      <c r="O237" s="8" t="str">
        <f t="shared" si="22"/>
        <v>Q2</v>
      </c>
      <c r="P237" s="8" t="str">
        <f t="shared" si="23"/>
        <v>2025</v>
      </c>
    </row>
    <row r="238" spans="1:16" x14ac:dyDescent="0.25">
      <c r="A238" s="9" t="s">
        <v>150</v>
      </c>
      <c r="B238" s="8" t="s">
        <v>16</v>
      </c>
      <c r="C238" s="8" t="s">
        <v>12</v>
      </c>
      <c r="D238" s="8" t="s">
        <v>22</v>
      </c>
      <c r="E238" s="8" t="s">
        <v>19</v>
      </c>
      <c r="F238" s="10">
        <v>11493</v>
      </c>
      <c r="G238" s="10">
        <v>8065.25</v>
      </c>
      <c r="H238" s="10">
        <v>1965.24</v>
      </c>
      <c r="I238" s="8">
        <v>415</v>
      </c>
      <c r="J238" s="11">
        <v>0.02</v>
      </c>
      <c r="K238" s="10">
        <f t="shared" si="18"/>
        <v>3427.75</v>
      </c>
      <c r="L238" s="10">
        <f t="shared" si="19"/>
        <v>1462.51</v>
      </c>
      <c r="M238" s="11">
        <f t="shared" si="20"/>
        <v>0.12725224049421388</v>
      </c>
      <c r="N238" s="8" t="str">
        <f t="shared" si="21"/>
        <v>June</v>
      </c>
      <c r="O238" s="8" t="str">
        <f t="shared" si="22"/>
        <v>Q2</v>
      </c>
      <c r="P238" s="8" t="str">
        <f t="shared" si="23"/>
        <v>2025</v>
      </c>
    </row>
    <row r="239" spans="1:16" x14ac:dyDescent="0.25">
      <c r="A239" s="9" t="s">
        <v>182</v>
      </c>
      <c r="B239" s="8" t="s">
        <v>16</v>
      </c>
      <c r="C239" s="8" t="s">
        <v>12</v>
      </c>
      <c r="D239" s="8" t="s">
        <v>18</v>
      </c>
      <c r="E239" s="8" t="s">
        <v>19</v>
      </c>
      <c r="F239" s="10">
        <v>23704</v>
      </c>
      <c r="G239" s="10">
        <v>15259.91</v>
      </c>
      <c r="H239" s="10">
        <v>4909.3599999999997</v>
      </c>
      <c r="I239" s="8">
        <v>55</v>
      </c>
      <c r="J239" s="11">
        <v>0.15</v>
      </c>
      <c r="K239" s="10">
        <f t="shared" si="18"/>
        <v>8444.09</v>
      </c>
      <c r="L239" s="10">
        <f t="shared" si="19"/>
        <v>3534.7300000000005</v>
      </c>
      <c r="M239" s="11">
        <f t="shared" si="20"/>
        <v>0.14911955788052653</v>
      </c>
      <c r="N239" s="8" t="str">
        <f t="shared" si="21"/>
        <v>June</v>
      </c>
      <c r="O239" s="8" t="str">
        <f t="shared" si="22"/>
        <v>Q2</v>
      </c>
      <c r="P239" s="8" t="str">
        <f t="shared" si="23"/>
        <v>2025</v>
      </c>
    </row>
    <row r="240" spans="1:16" x14ac:dyDescent="0.25">
      <c r="A240" s="9" t="s">
        <v>65</v>
      </c>
      <c r="B240" s="8" t="s">
        <v>24</v>
      </c>
      <c r="C240" s="8" t="s">
        <v>17</v>
      </c>
      <c r="D240" s="8" t="s">
        <v>22</v>
      </c>
      <c r="E240" s="8" t="s">
        <v>19</v>
      </c>
      <c r="F240" s="10">
        <v>45839</v>
      </c>
      <c r="G240" s="10">
        <v>24944.42</v>
      </c>
      <c r="H240" s="10">
        <v>9109.2199999999993</v>
      </c>
      <c r="I240" s="8">
        <v>378</v>
      </c>
      <c r="J240" s="11">
        <v>0.05</v>
      </c>
      <c r="K240" s="10">
        <f t="shared" si="18"/>
        <v>20894.580000000002</v>
      </c>
      <c r="L240" s="10">
        <f t="shared" si="19"/>
        <v>11785.360000000002</v>
      </c>
      <c r="M240" s="11">
        <f t="shared" si="20"/>
        <v>0.25710333995069706</v>
      </c>
      <c r="N240" s="8" t="str">
        <f t="shared" si="21"/>
        <v>June</v>
      </c>
      <c r="O240" s="8" t="str">
        <f t="shared" si="22"/>
        <v>Q2</v>
      </c>
      <c r="P240" s="8" t="str">
        <f t="shared" si="23"/>
        <v>2025</v>
      </c>
    </row>
    <row r="241" spans="1:16" x14ac:dyDescent="0.25">
      <c r="A241" s="9" t="s">
        <v>65</v>
      </c>
      <c r="B241" s="8" t="s">
        <v>21</v>
      </c>
      <c r="C241" s="8" t="s">
        <v>12</v>
      </c>
      <c r="D241" s="8" t="s">
        <v>27</v>
      </c>
      <c r="E241" s="8" t="s">
        <v>19</v>
      </c>
      <c r="F241" s="10">
        <v>23229</v>
      </c>
      <c r="G241" s="10">
        <v>10803.93</v>
      </c>
      <c r="H241" s="10">
        <v>2582.5700000000002</v>
      </c>
      <c r="I241" s="8">
        <v>339</v>
      </c>
      <c r="J241" s="11">
        <v>0.1</v>
      </c>
      <c r="K241" s="10">
        <f t="shared" si="18"/>
        <v>12425.07</v>
      </c>
      <c r="L241" s="10">
        <f t="shared" si="19"/>
        <v>9842.5</v>
      </c>
      <c r="M241" s="11">
        <f t="shared" si="20"/>
        <v>0.42371604459942314</v>
      </c>
      <c r="N241" s="8" t="str">
        <f t="shared" si="21"/>
        <v>June</v>
      </c>
      <c r="O241" s="8" t="str">
        <f t="shared" si="22"/>
        <v>Q2</v>
      </c>
      <c r="P241" s="8" t="str">
        <f t="shared" si="23"/>
        <v>2025</v>
      </c>
    </row>
    <row r="242" spans="1:16" x14ac:dyDescent="0.25">
      <c r="A242" s="9" t="s">
        <v>65</v>
      </c>
      <c r="B242" s="8" t="s">
        <v>11</v>
      </c>
      <c r="C242" s="8" t="s">
        <v>12</v>
      </c>
      <c r="D242" s="8" t="s">
        <v>27</v>
      </c>
      <c r="E242" s="8" t="s">
        <v>19</v>
      </c>
      <c r="F242" s="10">
        <v>36454</v>
      </c>
      <c r="G242" s="10">
        <v>21466.1</v>
      </c>
      <c r="H242" s="10">
        <v>4747.18</v>
      </c>
      <c r="I242" s="8">
        <v>166</v>
      </c>
      <c r="J242" s="11">
        <v>0.1</v>
      </c>
      <c r="K242" s="10">
        <f t="shared" si="18"/>
        <v>14987.900000000001</v>
      </c>
      <c r="L242" s="10">
        <f t="shared" si="19"/>
        <v>10240.720000000001</v>
      </c>
      <c r="M242" s="11">
        <f t="shared" si="20"/>
        <v>0.28092170955176388</v>
      </c>
      <c r="N242" s="8" t="str">
        <f t="shared" si="21"/>
        <v>June</v>
      </c>
      <c r="O242" s="8" t="str">
        <f t="shared" si="22"/>
        <v>Q2</v>
      </c>
      <c r="P242" s="8" t="str">
        <f t="shared" si="23"/>
        <v>2025</v>
      </c>
    </row>
    <row r="243" spans="1:16" x14ac:dyDescent="0.25">
      <c r="A243" s="9" t="s">
        <v>119</v>
      </c>
      <c r="B243" s="8" t="s">
        <v>21</v>
      </c>
      <c r="C243" s="8" t="s">
        <v>17</v>
      </c>
      <c r="D243" s="8" t="s">
        <v>27</v>
      </c>
      <c r="E243" s="8" t="s">
        <v>19</v>
      </c>
      <c r="F243" s="10">
        <v>12547</v>
      </c>
      <c r="G243" s="10">
        <v>7409</v>
      </c>
      <c r="H243" s="10">
        <v>1136.03</v>
      </c>
      <c r="I243" s="8">
        <v>396</v>
      </c>
      <c r="J243" s="11">
        <v>0.02</v>
      </c>
      <c r="K243" s="10">
        <f t="shared" si="18"/>
        <v>5138</v>
      </c>
      <c r="L243" s="10">
        <f t="shared" si="19"/>
        <v>4001.9700000000003</v>
      </c>
      <c r="M243" s="11">
        <f t="shared" si="20"/>
        <v>0.31895831672909863</v>
      </c>
      <c r="N243" s="8" t="str">
        <f t="shared" si="21"/>
        <v>June</v>
      </c>
      <c r="O243" s="8" t="str">
        <f t="shared" si="22"/>
        <v>Q2</v>
      </c>
      <c r="P243" s="8" t="str">
        <f t="shared" si="23"/>
        <v>2025</v>
      </c>
    </row>
    <row r="244" spans="1:16" x14ac:dyDescent="0.25">
      <c r="A244" s="9" t="s">
        <v>119</v>
      </c>
      <c r="B244" s="8" t="s">
        <v>16</v>
      </c>
      <c r="C244" s="8" t="s">
        <v>12</v>
      </c>
      <c r="D244" s="8" t="s">
        <v>27</v>
      </c>
      <c r="E244" s="8" t="s">
        <v>25</v>
      </c>
      <c r="F244" s="10">
        <v>47126</v>
      </c>
      <c r="G244" s="10">
        <v>23682.080000000002</v>
      </c>
      <c r="H244" s="10">
        <v>8910.58</v>
      </c>
      <c r="I244" s="8">
        <v>247</v>
      </c>
      <c r="J244" s="11">
        <v>0.1</v>
      </c>
      <c r="K244" s="10">
        <f t="shared" si="18"/>
        <v>23443.919999999998</v>
      </c>
      <c r="L244" s="10">
        <f t="shared" si="19"/>
        <v>14533.339999999998</v>
      </c>
      <c r="M244" s="11">
        <f t="shared" si="20"/>
        <v>0.30839324364469717</v>
      </c>
      <c r="N244" s="8" t="str">
        <f t="shared" si="21"/>
        <v>June</v>
      </c>
      <c r="O244" s="8" t="str">
        <f t="shared" si="22"/>
        <v>Q2</v>
      </c>
      <c r="P244" s="8" t="str">
        <f t="shared" si="23"/>
        <v>2025</v>
      </c>
    </row>
    <row r="245" spans="1:16" x14ac:dyDescent="0.25">
      <c r="A245" s="9" t="s">
        <v>35</v>
      </c>
      <c r="B245" s="8" t="s">
        <v>16</v>
      </c>
      <c r="C245" s="8" t="s">
        <v>12</v>
      </c>
      <c r="D245" s="8" t="s">
        <v>22</v>
      </c>
      <c r="E245" s="8" t="s">
        <v>25</v>
      </c>
      <c r="F245" s="10">
        <v>12310</v>
      </c>
      <c r="G245" s="10">
        <v>6623.4</v>
      </c>
      <c r="H245" s="10">
        <v>1257.3699999999999</v>
      </c>
      <c r="I245" s="8">
        <v>11</v>
      </c>
      <c r="J245" s="11">
        <v>0.05</v>
      </c>
      <c r="K245" s="10">
        <f t="shared" si="18"/>
        <v>5686.6</v>
      </c>
      <c r="L245" s="10">
        <f t="shared" si="19"/>
        <v>4429.2300000000005</v>
      </c>
      <c r="M245" s="11">
        <f t="shared" si="20"/>
        <v>0.3598074735987003</v>
      </c>
      <c r="N245" s="8" t="str">
        <f t="shared" si="21"/>
        <v>June</v>
      </c>
      <c r="O245" s="8" t="str">
        <f t="shared" si="22"/>
        <v>Q2</v>
      </c>
      <c r="P245" s="8" t="str">
        <f t="shared" si="23"/>
        <v>2025</v>
      </c>
    </row>
    <row r="246" spans="1:16" x14ac:dyDescent="0.25">
      <c r="A246" s="9" t="s">
        <v>260</v>
      </c>
      <c r="B246" s="8" t="s">
        <v>24</v>
      </c>
      <c r="C246" s="8" t="s">
        <v>17</v>
      </c>
      <c r="D246" s="8" t="s">
        <v>18</v>
      </c>
      <c r="E246" s="8" t="s">
        <v>14</v>
      </c>
      <c r="F246" s="10">
        <v>24278</v>
      </c>
      <c r="G246" s="10">
        <v>14223.36</v>
      </c>
      <c r="H246" s="10">
        <v>2395.56</v>
      </c>
      <c r="I246" s="8">
        <v>221</v>
      </c>
      <c r="J246" s="11">
        <v>0.15</v>
      </c>
      <c r="K246" s="10">
        <f t="shared" si="18"/>
        <v>10054.64</v>
      </c>
      <c r="L246" s="10">
        <f t="shared" si="19"/>
        <v>7659.08</v>
      </c>
      <c r="M246" s="11">
        <f t="shared" si="20"/>
        <v>0.31547409177032704</v>
      </c>
      <c r="N246" s="8" t="str">
        <f t="shared" si="21"/>
        <v>June</v>
      </c>
      <c r="O246" s="8" t="str">
        <f t="shared" si="22"/>
        <v>Q2</v>
      </c>
      <c r="P246" s="8" t="str">
        <f t="shared" si="23"/>
        <v>2025</v>
      </c>
    </row>
    <row r="247" spans="1:16" x14ac:dyDescent="0.25">
      <c r="A247" s="9" t="s">
        <v>245</v>
      </c>
      <c r="B247" s="8" t="s">
        <v>21</v>
      </c>
      <c r="C247" s="8" t="s">
        <v>12</v>
      </c>
      <c r="D247" s="8" t="s">
        <v>18</v>
      </c>
      <c r="E247" s="8" t="s">
        <v>19</v>
      </c>
      <c r="F247" s="10">
        <v>31928</v>
      </c>
      <c r="G247" s="10">
        <v>16897.61</v>
      </c>
      <c r="H247" s="10">
        <v>5481.09</v>
      </c>
      <c r="I247" s="8">
        <v>302</v>
      </c>
      <c r="J247" s="11">
        <v>0.15</v>
      </c>
      <c r="K247" s="10">
        <f t="shared" si="18"/>
        <v>15030.39</v>
      </c>
      <c r="L247" s="10">
        <f t="shared" si="19"/>
        <v>9549.2999999999993</v>
      </c>
      <c r="M247" s="11">
        <f t="shared" si="20"/>
        <v>0.29908857429215735</v>
      </c>
      <c r="N247" s="8" t="str">
        <f t="shared" si="21"/>
        <v>June</v>
      </c>
      <c r="O247" s="8" t="str">
        <f t="shared" si="22"/>
        <v>Q2</v>
      </c>
      <c r="P247" s="8" t="str">
        <f t="shared" si="23"/>
        <v>2025</v>
      </c>
    </row>
    <row r="248" spans="1:16" x14ac:dyDescent="0.25">
      <c r="A248" s="9" t="s">
        <v>238</v>
      </c>
      <c r="B248" s="8" t="s">
        <v>21</v>
      </c>
      <c r="C248" s="8" t="s">
        <v>12</v>
      </c>
      <c r="D248" s="8" t="s">
        <v>22</v>
      </c>
      <c r="E248" s="8" t="s">
        <v>14</v>
      </c>
      <c r="F248" s="10">
        <v>25939</v>
      </c>
      <c r="G248" s="10">
        <v>12979</v>
      </c>
      <c r="H248" s="10">
        <v>5290.13</v>
      </c>
      <c r="I248" s="8">
        <v>55</v>
      </c>
      <c r="J248" s="11">
        <v>0.05</v>
      </c>
      <c r="K248" s="10">
        <f t="shared" si="18"/>
        <v>12960</v>
      </c>
      <c r="L248" s="10">
        <f t="shared" si="19"/>
        <v>7669.87</v>
      </c>
      <c r="M248" s="11">
        <f t="shared" si="20"/>
        <v>0.29568873125409617</v>
      </c>
      <c r="N248" s="8" t="str">
        <f t="shared" si="21"/>
        <v>June</v>
      </c>
      <c r="O248" s="8" t="str">
        <f t="shared" si="22"/>
        <v>Q2</v>
      </c>
      <c r="P248" s="8" t="str">
        <f t="shared" si="23"/>
        <v>2025</v>
      </c>
    </row>
    <row r="249" spans="1:16" x14ac:dyDescent="0.25">
      <c r="A249" s="9" t="s">
        <v>238</v>
      </c>
      <c r="B249" s="8" t="s">
        <v>21</v>
      </c>
      <c r="C249" s="8" t="s">
        <v>17</v>
      </c>
      <c r="D249" s="8" t="s">
        <v>27</v>
      </c>
      <c r="E249" s="8" t="s">
        <v>14</v>
      </c>
      <c r="F249" s="10">
        <v>30802</v>
      </c>
      <c r="G249" s="10">
        <v>21811.51</v>
      </c>
      <c r="H249" s="10">
        <v>5810.08</v>
      </c>
      <c r="I249" s="8">
        <v>244</v>
      </c>
      <c r="J249" s="11">
        <v>0</v>
      </c>
      <c r="K249" s="10">
        <f t="shared" si="18"/>
        <v>8990.4900000000016</v>
      </c>
      <c r="L249" s="10">
        <f t="shared" si="19"/>
        <v>3180.4100000000017</v>
      </c>
      <c r="M249" s="11">
        <f t="shared" si="20"/>
        <v>0.10325336017141749</v>
      </c>
      <c r="N249" s="8" t="str">
        <f t="shared" si="21"/>
        <v>June</v>
      </c>
      <c r="O249" s="8" t="str">
        <f t="shared" si="22"/>
        <v>Q2</v>
      </c>
      <c r="P249" s="8" t="str">
        <f t="shared" si="23"/>
        <v>2025</v>
      </c>
    </row>
    <row r="250" spans="1:16" x14ac:dyDescent="0.25">
      <c r="A250" s="9" t="s">
        <v>180</v>
      </c>
      <c r="B250" s="8" t="s">
        <v>11</v>
      </c>
      <c r="C250" s="8" t="s">
        <v>17</v>
      </c>
      <c r="D250" s="8" t="s">
        <v>13</v>
      </c>
      <c r="E250" s="8" t="s">
        <v>19</v>
      </c>
      <c r="F250" s="10">
        <v>41732</v>
      </c>
      <c r="G250" s="10">
        <v>30468.959999999999</v>
      </c>
      <c r="H250" s="10">
        <v>7985.7</v>
      </c>
      <c r="I250" s="8">
        <v>150</v>
      </c>
      <c r="J250" s="11">
        <v>0.05</v>
      </c>
      <c r="K250" s="10">
        <f t="shared" si="18"/>
        <v>11263.04</v>
      </c>
      <c r="L250" s="10">
        <f t="shared" si="19"/>
        <v>3277.3400000000011</v>
      </c>
      <c r="M250" s="11">
        <f t="shared" si="20"/>
        <v>7.8533020224288347E-2</v>
      </c>
      <c r="N250" s="8" t="str">
        <f t="shared" si="21"/>
        <v>June</v>
      </c>
      <c r="O250" s="8" t="str">
        <f t="shared" si="22"/>
        <v>Q2</v>
      </c>
      <c r="P250" s="8" t="str">
        <f t="shared" si="23"/>
        <v>2025</v>
      </c>
    </row>
    <row r="251" spans="1:16" x14ac:dyDescent="0.25">
      <c r="A251" s="9" t="s">
        <v>180</v>
      </c>
      <c r="B251" s="8" t="s">
        <v>24</v>
      </c>
      <c r="C251" s="8" t="s">
        <v>12</v>
      </c>
      <c r="D251" s="8" t="s">
        <v>13</v>
      </c>
      <c r="E251" s="8" t="s">
        <v>25</v>
      </c>
      <c r="F251" s="10">
        <v>19496</v>
      </c>
      <c r="G251" s="10">
        <v>13940.01</v>
      </c>
      <c r="H251" s="10">
        <v>3370.21</v>
      </c>
      <c r="I251" s="8">
        <v>179</v>
      </c>
      <c r="J251" s="11">
        <v>0.05</v>
      </c>
      <c r="K251" s="10">
        <f t="shared" si="18"/>
        <v>5555.99</v>
      </c>
      <c r="L251" s="10">
        <f t="shared" si="19"/>
        <v>2185.7799999999997</v>
      </c>
      <c r="M251" s="11">
        <f t="shared" si="20"/>
        <v>0.11211427985227737</v>
      </c>
      <c r="N251" s="8" t="str">
        <f t="shared" si="21"/>
        <v>June</v>
      </c>
      <c r="O251" s="8" t="str">
        <f t="shared" si="22"/>
        <v>Q2</v>
      </c>
      <c r="P251" s="8" t="str">
        <f t="shared" si="23"/>
        <v>2025</v>
      </c>
    </row>
    <row r="252" spans="1:16" x14ac:dyDescent="0.25">
      <c r="A252" s="9" t="s">
        <v>116</v>
      </c>
      <c r="B252" s="8" t="s">
        <v>11</v>
      </c>
      <c r="C252" s="8" t="s">
        <v>12</v>
      </c>
      <c r="D252" s="8" t="s">
        <v>22</v>
      </c>
      <c r="E252" s="8" t="s">
        <v>19</v>
      </c>
      <c r="F252" s="10">
        <v>19352</v>
      </c>
      <c r="G252" s="10">
        <v>12404.35</v>
      </c>
      <c r="H252" s="10">
        <v>3230.33</v>
      </c>
      <c r="I252" s="8">
        <v>357</v>
      </c>
      <c r="J252" s="11">
        <v>0.02</v>
      </c>
      <c r="K252" s="10">
        <f t="shared" si="18"/>
        <v>6947.65</v>
      </c>
      <c r="L252" s="10">
        <f t="shared" si="19"/>
        <v>3717.3199999999997</v>
      </c>
      <c r="M252" s="11">
        <f t="shared" si="20"/>
        <v>0.19208970649028523</v>
      </c>
      <c r="N252" s="8" t="str">
        <f t="shared" si="21"/>
        <v>June</v>
      </c>
      <c r="O252" s="8" t="str">
        <f t="shared" si="22"/>
        <v>Q2</v>
      </c>
      <c r="P252" s="8" t="str">
        <f t="shared" si="23"/>
        <v>2025</v>
      </c>
    </row>
    <row r="253" spans="1:16" x14ac:dyDescent="0.25">
      <c r="A253" s="9" t="s">
        <v>116</v>
      </c>
      <c r="B253" s="8" t="s">
        <v>11</v>
      </c>
      <c r="C253" s="8" t="s">
        <v>12</v>
      </c>
      <c r="D253" s="8" t="s">
        <v>27</v>
      </c>
      <c r="E253" s="8" t="s">
        <v>25</v>
      </c>
      <c r="F253" s="10">
        <v>16092</v>
      </c>
      <c r="G253" s="10">
        <v>7917.06</v>
      </c>
      <c r="H253" s="10">
        <v>2518.66</v>
      </c>
      <c r="I253" s="8">
        <v>104</v>
      </c>
      <c r="J253" s="11">
        <v>0.15</v>
      </c>
      <c r="K253" s="10">
        <f t="shared" si="18"/>
        <v>8174.94</v>
      </c>
      <c r="L253" s="10">
        <f t="shared" si="19"/>
        <v>5656.28</v>
      </c>
      <c r="M253" s="11">
        <f t="shared" si="20"/>
        <v>0.35149639572458363</v>
      </c>
      <c r="N253" s="8" t="str">
        <f t="shared" si="21"/>
        <v>June</v>
      </c>
      <c r="O253" s="8" t="str">
        <f t="shared" si="22"/>
        <v>Q2</v>
      </c>
      <c r="P253" s="8" t="str">
        <f t="shared" si="23"/>
        <v>2025</v>
      </c>
    </row>
    <row r="254" spans="1:16" x14ac:dyDescent="0.25">
      <c r="A254" s="9" t="s">
        <v>232</v>
      </c>
      <c r="B254" s="8" t="s">
        <v>24</v>
      </c>
      <c r="C254" s="8" t="s">
        <v>17</v>
      </c>
      <c r="D254" s="8" t="s">
        <v>22</v>
      </c>
      <c r="E254" s="8" t="s">
        <v>14</v>
      </c>
      <c r="F254" s="10">
        <v>36436</v>
      </c>
      <c r="G254" s="10">
        <v>22348.22</v>
      </c>
      <c r="H254" s="10">
        <v>5387.25</v>
      </c>
      <c r="I254" s="8">
        <v>477</v>
      </c>
      <c r="J254" s="11">
        <v>0.15</v>
      </c>
      <c r="K254" s="10">
        <f t="shared" si="18"/>
        <v>14087.779999999999</v>
      </c>
      <c r="L254" s="10">
        <f t="shared" si="19"/>
        <v>8700.5299999999988</v>
      </c>
      <c r="M254" s="11">
        <f t="shared" si="20"/>
        <v>0.23878938412559003</v>
      </c>
      <c r="N254" s="8" t="str">
        <f t="shared" si="21"/>
        <v>July</v>
      </c>
      <c r="O254" s="8" t="str">
        <f t="shared" si="22"/>
        <v>Q3</v>
      </c>
      <c r="P254" s="8" t="str">
        <f t="shared" si="23"/>
        <v>2025</v>
      </c>
    </row>
    <row r="255" spans="1:16" x14ac:dyDescent="0.25">
      <c r="A255" s="9" t="s">
        <v>232</v>
      </c>
      <c r="B255" s="8" t="s">
        <v>16</v>
      </c>
      <c r="C255" s="8" t="s">
        <v>17</v>
      </c>
      <c r="D255" s="8" t="s">
        <v>27</v>
      </c>
      <c r="E255" s="8" t="s">
        <v>19</v>
      </c>
      <c r="F255" s="10">
        <v>38247</v>
      </c>
      <c r="G255" s="10">
        <v>20655.62</v>
      </c>
      <c r="H255" s="10">
        <v>3969.97</v>
      </c>
      <c r="I255" s="8">
        <v>346</v>
      </c>
      <c r="J255" s="11">
        <v>0.15</v>
      </c>
      <c r="K255" s="10">
        <f t="shared" si="18"/>
        <v>17591.38</v>
      </c>
      <c r="L255" s="10">
        <f t="shared" si="19"/>
        <v>13621.410000000002</v>
      </c>
      <c r="M255" s="11">
        <f t="shared" si="20"/>
        <v>0.35614322691975847</v>
      </c>
      <c r="N255" s="8" t="str">
        <f t="shared" si="21"/>
        <v>July</v>
      </c>
      <c r="O255" s="8" t="str">
        <f t="shared" si="22"/>
        <v>Q3</v>
      </c>
      <c r="P255" s="8" t="str">
        <f t="shared" si="23"/>
        <v>2025</v>
      </c>
    </row>
    <row r="256" spans="1:16" x14ac:dyDescent="0.25">
      <c r="A256" s="9" t="s">
        <v>232</v>
      </c>
      <c r="B256" s="8" t="s">
        <v>11</v>
      </c>
      <c r="C256" s="8" t="s">
        <v>12</v>
      </c>
      <c r="D256" s="8" t="s">
        <v>18</v>
      </c>
      <c r="E256" s="8" t="s">
        <v>25</v>
      </c>
      <c r="F256" s="10">
        <v>17348</v>
      </c>
      <c r="G256" s="10">
        <v>8664.7199999999993</v>
      </c>
      <c r="H256" s="10">
        <v>3590.43</v>
      </c>
      <c r="I256" s="8">
        <v>425</v>
      </c>
      <c r="J256" s="11">
        <v>0.1</v>
      </c>
      <c r="K256" s="10">
        <f t="shared" si="18"/>
        <v>8683.2800000000007</v>
      </c>
      <c r="L256" s="10">
        <f t="shared" si="19"/>
        <v>5092.8500000000004</v>
      </c>
      <c r="M256" s="11">
        <f t="shared" si="20"/>
        <v>0.29356986396126356</v>
      </c>
      <c r="N256" s="8" t="str">
        <f t="shared" si="21"/>
        <v>July</v>
      </c>
      <c r="O256" s="8" t="str">
        <f t="shared" si="22"/>
        <v>Q3</v>
      </c>
      <c r="P256" s="8" t="str">
        <f t="shared" si="23"/>
        <v>2025</v>
      </c>
    </row>
    <row r="257" spans="1:16" x14ac:dyDescent="0.25">
      <c r="A257" s="9" t="s">
        <v>147</v>
      </c>
      <c r="B257" s="8" t="s">
        <v>21</v>
      </c>
      <c r="C257" s="8" t="s">
        <v>12</v>
      </c>
      <c r="D257" s="8" t="s">
        <v>18</v>
      </c>
      <c r="E257" s="8" t="s">
        <v>19</v>
      </c>
      <c r="F257" s="10">
        <v>49326</v>
      </c>
      <c r="G257" s="10">
        <v>32844.980000000003</v>
      </c>
      <c r="H257" s="10">
        <v>10641.71</v>
      </c>
      <c r="I257" s="8">
        <v>322</v>
      </c>
      <c r="J257" s="11">
        <v>0.05</v>
      </c>
      <c r="K257" s="10">
        <f t="shared" si="18"/>
        <v>16481.019999999997</v>
      </c>
      <c r="L257" s="10">
        <f t="shared" si="19"/>
        <v>5839.3099999999977</v>
      </c>
      <c r="M257" s="11">
        <f t="shared" si="20"/>
        <v>0.11838198921461293</v>
      </c>
      <c r="N257" s="8" t="str">
        <f t="shared" si="21"/>
        <v>July</v>
      </c>
      <c r="O257" s="8" t="str">
        <f t="shared" si="22"/>
        <v>Q3</v>
      </c>
      <c r="P257" s="8" t="str">
        <f t="shared" si="23"/>
        <v>2025</v>
      </c>
    </row>
    <row r="258" spans="1:16" x14ac:dyDescent="0.25">
      <c r="A258" s="9" t="s">
        <v>147</v>
      </c>
      <c r="B258" s="8" t="s">
        <v>21</v>
      </c>
      <c r="C258" s="8" t="s">
        <v>17</v>
      </c>
      <c r="D258" s="8" t="s">
        <v>13</v>
      </c>
      <c r="E258" s="8" t="s">
        <v>14</v>
      </c>
      <c r="F258" s="10">
        <v>8556</v>
      </c>
      <c r="G258" s="10">
        <v>5946.22</v>
      </c>
      <c r="H258" s="10">
        <v>1695.84</v>
      </c>
      <c r="I258" s="8">
        <v>179</v>
      </c>
      <c r="J258" s="11">
        <v>0.15</v>
      </c>
      <c r="K258" s="10">
        <f t="shared" si="18"/>
        <v>2609.7799999999997</v>
      </c>
      <c r="L258" s="10">
        <f t="shared" si="19"/>
        <v>913.93999999999983</v>
      </c>
      <c r="M258" s="11">
        <f t="shared" si="20"/>
        <v>0.10681860682561943</v>
      </c>
      <c r="N258" s="8" t="str">
        <f t="shared" si="21"/>
        <v>July</v>
      </c>
      <c r="O258" s="8" t="str">
        <f t="shared" si="22"/>
        <v>Q3</v>
      </c>
      <c r="P258" s="8" t="str">
        <f t="shared" si="23"/>
        <v>2025</v>
      </c>
    </row>
    <row r="259" spans="1:16" x14ac:dyDescent="0.25">
      <c r="A259" s="9" t="s">
        <v>147</v>
      </c>
      <c r="B259" s="8" t="s">
        <v>16</v>
      </c>
      <c r="C259" s="8" t="s">
        <v>12</v>
      </c>
      <c r="D259" s="8" t="s">
        <v>13</v>
      </c>
      <c r="E259" s="8" t="s">
        <v>14</v>
      </c>
      <c r="F259" s="10">
        <v>37910</v>
      </c>
      <c r="G259" s="10">
        <v>17179.96</v>
      </c>
      <c r="H259" s="10">
        <v>4300.6400000000003</v>
      </c>
      <c r="I259" s="8">
        <v>422</v>
      </c>
      <c r="J259" s="11">
        <v>0.15</v>
      </c>
      <c r="K259" s="10">
        <f t="shared" ref="K259:K322" si="24">F259-G259</f>
        <v>20730.04</v>
      </c>
      <c r="L259" s="10">
        <f t="shared" ref="L259:L322" si="25">F259-G259-H259</f>
        <v>16429.400000000001</v>
      </c>
      <c r="M259" s="11">
        <f t="shared" ref="M259:M322" si="26">L259/F259</f>
        <v>0.43337905565813772</v>
      </c>
      <c r="N259" s="8" t="str">
        <f t="shared" ref="N259:N322" si="27">TEXT(A259,"MMMM")</f>
        <v>July</v>
      </c>
      <c r="O259" s="8" t="str">
        <f t="shared" ref="O259:O322" si="28">"Q"&amp;ROUNDUP(MONTH(A259)/3,0)</f>
        <v>Q3</v>
      </c>
      <c r="P259" s="8" t="str">
        <f t="shared" ref="P259:P322" si="29">TEXT(A259,"YYYY")</f>
        <v>2025</v>
      </c>
    </row>
    <row r="260" spans="1:16" x14ac:dyDescent="0.25">
      <c r="A260" s="9" t="s">
        <v>214</v>
      </c>
      <c r="B260" s="8" t="s">
        <v>16</v>
      </c>
      <c r="C260" s="8" t="s">
        <v>17</v>
      </c>
      <c r="D260" s="8" t="s">
        <v>27</v>
      </c>
      <c r="E260" s="8" t="s">
        <v>25</v>
      </c>
      <c r="F260" s="10">
        <v>40523</v>
      </c>
      <c r="G260" s="10">
        <v>28235.75</v>
      </c>
      <c r="H260" s="10">
        <v>3477.91</v>
      </c>
      <c r="I260" s="8">
        <v>378</v>
      </c>
      <c r="J260" s="11">
        <v>0.1</v>
      </c>
      <c r="K260" s="10">
        <f t="shared" si="24"/>
        <v>12287.25</v>
      </c>
      <c r="L260" s="10">
        <f t="shared" si="25"/>
        <v>8809.34</v>
      </c>
      <c r="M260" s="11">
        <f t="shared" si="26"/>
        <v>0.21739111122078819</v>
      </c>
      <c r="N260" s="8" t="str">
        <f t="shared" si="27"/>
        <v>July</v>
      </c>
      <c r="O260" s="8" t="str">
        <f t="shared" si="28"/>
        <v>Q3</v>
      </c>
      <c r="P260" s="8" t="str">
        <f t="shared" si="29"/>
        <v>2025</v>
      </c>
    </row>
    <row r="261" spans="1:16" x14ac:dyDescent="0.25">
      <c r="A261" s="9" t="s">
        <v>156</v>
      </c>
      <c r="B261" s="8" t="s">
        <v>24</v>
      </c>
      <c r="C261" s="8" t="s">
        <v>12</v>
      </c>
      <c r="D261" s="8" t="s">
        <v>13</v>
      </c>
      <c r="E261" s="8" t="s">
        <v>25</v>
      </c>
      <c r="F261" s="10">
        <v>33636</v>
      </c>
      <c r="G261" s="10">
        <v>24111.83</v>
      </c>
      <c r="H261" s="10">
        <v>6191.15</v>
      </c>
      <c r="I261" s="8">
        <v>468</v>
      </c>
      <c r="J261" s="11">
        <v>0.1</v>
      </c>
      <c r="K261" s="10">
        <f t="shared" si="24"/>
        <v>9524.1699999999983</v>
      </c>
      <c r="L261" s="10">
        <f t="shared" si="25"/>
        <v>3333.0199999999986</v>
      </c>
      <c r="M261" s="11">
        <f t="shared" si="26"/>
        <v>9.9090855036270617E-2</v>
      </c>
      <c r="N261" s="8" t="str">
        <f t="shared" si="27"/>
        <v>July</v>
      </c>
      <c r="O261" s="8" t="str">
        <f t="shared" si="28"/>
        <v>Q3</v>
      </c>
      <c r="P261" s="8" t="str">
        <f t="shared" si="29"/>
        <v>2025</v>
      </c>
    </row>
    <row r="262" spans="1:16" x14ac:dyDescent="0.25">
      <c r="A262" s="9" t="s">
        <v>156</v>
      </c>
      <c r="B262" s="8" t="s">
        <v>11</v>
      </c>
      <c r="C262" s="8" t="s">
        <v>17</v>
      </c>
      <c r="D262" s="8" t="s">
        <v>22</v>
      </c>
      <c r="E262" s="8" t="s">
        <v>25</v>
      </c>
      <c r="F262" s="10">
        <v>26708</v>
      </c>
      <c r="G262" s="10">
        <v>17417.41</v>
      </c>
      <c r="H262" s="10">
        <v>5800.6</v>
      </c>
      <c r="I262" s="8">
        <v>308</v>
      </c>
      <c r="J262" s="11">
        <v>0.05</v>
      </c>
      <c r="K262" s="10">
        <f t="shared" si="24"/>
        <v>9290.59</v>
      </c>
      <c r="L262" s="10">
        <f t="shared" si="25"/>
        <v>3489.99</v>
      </c>
      <c r="M262" s="11">
        <f t="shared" si="26"/>
        <v>0.13067208327093005</v>
      </c>
      <c r="N262" s="8" t="str">
        <f t="shared" si="27"/>
        <v>July</v>
      </c>
      <c r="O262" s="8" t="str">
        <f t="shared" si="28"/>
        <v>Q3</v>
      </c>
      <c r="P262" s="8" t="str">
        <f t="shared" si="29"/>
        <v>2025</v>
      </c>
    </row>
    <row r="263" spans="1:16" x14ac:dyDescent="0.25">
      <c r="A263" s="9" t="s">
        <v>156</v>
      </c>
      <c r="B263" s="8" t="s">
        <v>21</v>
      </c>
      <c r="C263" s="8" t="s">
        <v>17</v>
      </c>
      <c r="D263" s="8" t="s">
        <v>27</v>
      </c>
      <c r="E263" s="8" t="s">
        <v>25</v>
      </c>
      <c r="F263" s="10">
        <v>34798</v>
      </c>
      <c r="G263" s="10">
        <v>25579.18</v>
      </c>
      <c r="H263" s="10">
        <v>4378.3</v>
      </c>
      <c r="I263" s="8">
        <v>11</v>
      </c>
      <c r="J263" s="11">
        <v>0</v>
      </c>
      <c r="K263" s="10">
        <f t="shared" si="24"/>
        <v>9218.82</v>
      </c>
      <c r="L263" s="10">
        <f t="shared" si="25"/>
        <v>4840.5199999999995</v>
      </c>
      <c r="M263" s="11">
        <f t="shared" si="26"/>
        <v>0.13910339674693947</v>
      </c>
      <c r="N263" s="8" t="str">
        <f t="shared" si="27"/>
        <v>July</v>
      </c>
      <c r="O263" s="8" t="str">
        <f t="shared" si="28"/>
        <v>Q3</v>
      </c>
      <c r="P263" s="8" t="str">
        <f t="shared" si="29"/>
        <v>2025</v>
      </c>
    </row>
    <row r="264" spans="1:16" x14ac:dyDescent="0.25">
      <c r="A264" s="9" t="s">
        <v>156</v>
      </c>
      <c r="B264" s="8" t="s">
        <v>16</v>
      </c>
      <c r="C264" s="8" t="s">
        <v>17</v>
      </c>
      <c r="D264" s="8" t="s">
        <v>22</v>
      </c>
      <c r="E264" s="8" t="s">
        <v>25</v>
      </c>
      <c r="F264" s="10">
        <v>18151</v>
      </c>
      <c r="G264" s="10">
        <v>9755.77</v>
      </c>
      <c r="H264" s="10">
        <v>3445.62</v>
      </c>
      <c r="I264" s="8">
        <v>388</v>
      </c>
      <c r="J264" s="11">
        <v>0.15</v>
      </c>
      <c r="K264" s="10">
        <f t="shared" si="24"/>
        <v>8395.23</v>
      </c>
      <c r="L264" s="10">
        <f t="shared" si="25"/>
        <v>4949.6099999999997</v>
      </c>
      <c r="M264" s="11">
        <f t="shared" si="26"/>
        <v>0.27269076083962313</v>
      </c>
      <c r="N264" s="8" t="str">
        <f t="shared" si="27"/>
        <v>July</v>
      </c>
      <c r="O264" s="8" t="str">
        <f t="shared" si="28"/>
        <v>Q3</v>
      </c>
      <c r="P264" s="8" t="str">
        <f t="shared" si="29"/>
        <v>2025</v>
      </c>
    </row>
    <row r="265" spans="1:16" x14ac:dyDescent="0.25">
      <c r="A265" s="9" t="s">
        <v>85</v>
      </c>
      <c r="B265" s="8" t="s">
        <v>21</v>
      </c>
      <c r="C265" s="8" t="s">
        <v>12</v>
      </c>
      <c r="D265" s="8" t="s">
        <v>13</v>
      </c>
      <c r="E265" s="8" t="s">
        <v>19</v>
      </c>
      <c r="F265" s="10">
        <v>9519</v>
      </c>
      <c r="G265" s="10">
        <v>5728.42</v>
      </c>
      <c r="H265" s="10">
        <v>1216.27</v>
      </c>
      <c r="I265" s="8">
        <v>444</v>
      </c>
      <c r="J265" s="11">
        <v>0.1</v>
      </c>
      <c r="K265" s="10">
        <f t="shared" si="24"/>
        <v>3790.58</v>
      </c>
      <c r="L265" s="10">
        <f t="shared" si="25"/>
        <v>2574.31</v>
      </c>
      <c r="M265" s="11">
        <f t="shared" si="26"/>
        <v>0.27043912175648704</v>
      </c>
      <c r="N265" s="8" t="str">
        <f t="shared" si="27"/>
        <v>July</v>
      </c>
      <c r="O265" s="8" t="str">
        <f t="shared" si="28"/>
        <v>Q3</v>
      </c>
      <c r="P265" s="8" t="str">
        <f t="shared" si="29"/>
        <v>2025</v>
      </c>
    </row>
    <row r="266" spans="1:16" x14ac:dyDescent="0.25">
      <c r="A266" s="9" t="s">
        <v>85</v>
      </c>
      <c r="B266" s="8" t="s">
        <v>24</v>
      </c>
      <c r="C266" s="8" t="s">
        <v>12</v>
      </c>
      <c r="D266" s="8" t="s">
        <v>18</v>
      </c>
      <c r="E266" s="8" t="s">
        <v>25</v>
      </c>
      <c r="F266" s="10">
        <v>10245</v>
      </c>
      <c r="G266" s="10">
        <v>6482.1</v>
      </c>
      <c r="H266" s="10">
        <v>1858.74</v>
      </c>
      <c r="I266" s="8">
        <v>486</v>
      </c>
      <c r="J266" s="11">
        <v>0.1</v>
      </c>
      <c r="K266" s="10">
        <f t="shared" si="24"/>
        <v>3762.8999999999996</v>
      </c>
      <c r="L266" s="10">
        <f t="shared" si="25"/>
        <v>1904.1599999999996</v>
      </c>
      <c r="M266" s="11">
        <f t="shared" si="26"/>
        <v>0.18586237188872617</v>
      </c>
      <c r="N266" s="8" t="str">
        <f t="shared" si="27"/>
        <v>July</v>
      </c>
      <c r="O266" s="8" t="str">
        <f t="shared" si="28"/>
        <v>Q3</v>
      </c>
      <c r="P266" s="8" t="str">
        <f t="shared" si="29"/>
        <v>2025</v>
      </c>
    </row>
    <row r="267" spans="1:16" x14ac:dyDescent="0.25">
      <c r="A267" s="9" t="s">
        <v>159</v>
      </c>
      <c r="B267" s="8" t="s">
        <v>21</v>
      </c>
      <c r="C267" s="8" t="s">
        <v>17</v>
      </c>
      <c r="D267" s="8" t="s">
        <v>22</v>
      </c>
      <c r="E267" s="8" t="s">
        <v>14</v>
      </c>
      <c r="F267" s="10">
        <v>34094</v>
      </c>
      <c r="G267" s="10">
        <v>23147.279999999999</v>
      </c>
      <c r="H267" s="10">
        <v>5466.94</v>
      </c>
      <c r="I267" s="8">
        <v>281</v>
      </c>
      <c r="J267" s="11">
        <v>0.05</v>
      </c>
      <c r="K267" s="10">
        <f t="shared" si="24"/>
        <v>10946.720000000001</v>
      </c>
      <c r="L267" s="10">
        <f t="shared" si="25"/>
        <v>5479.7800000000016</v>
      </c>
      <c r="M267" s="11">
        <f t="shared" si="26"/>
        <v>0.16072564087522737</v>
      </c>
      <c r="N267" s="8" t="str">
        <f t="shared" si="27"/>
        <v>July</v>
      </c>
      <c r="O267" s="8" t="str">
        <f t="shared" si="28"/>
        <v>Q3</v>
      </c>
      <c r="P267" s="8" t="str">
        <f t="shared" si="29"/>
        <v>2025</v>
      </c>
    </row>
    <row r="268" spans="1:16" x14ac:dyDescent="0.25">
      <c r="A268" s="9" t="s">
        <v>176</v>
      </c>
      <c r="B268" s="8" t="s">
        <v>21</v>
      </c>
      <c r="C268" s="8" t="s">
        <v>12</v>
      </c>
      <c r="D268" s="8" t="s">
        <v>27</v>
      </c>
      <c r="E268" s="8" t="s">
        <v>14</v>
      </c>
      <c r="F268" s="10">
        <v>27222</v>
      </c>
      <c r="G268" s="10">
        <v>16805.490000000002</v>
      </c>
      <c r="H268" s="10">
        <v>3571.12</v>
      </c>
      <c r="I268" s="8">
        <v>83</v>
      </c>
      <c r="J268" s="11">
        <v>0.02</v>
      </c>
      <c r="K268" s="10">
        <f t="shared" si="24"/>
        <v>10416.509999999998</v>
      </c>
      <c r="L268" s="10">
        <f t="shared" si="25"/>
        <v>6845.3899999999985</v>
      </c>
      <c r="M268" s="11">
        <f t="shared" si="26"/>
        <v>0.25146535890088895</v>
      </c>
      <c r="N268" s="8" t="str">
        <f t="shared" si="27"/>
        <v>July</v>
      </c>
      <c r="O268" s="8" t="str">
        <f t="shared" si="28"/>
        <v>Q3</v>
      </c>
      <c r="P268" s="8" t="str">
        <f t="shared" si="29"/>
        <v>2025</v>
      </c>
    </row>
    <row r="269" spans="1:16" x14ac:dyDescent="0.25">
      <c r="A269" s="9" t="s">
        <v>176</v>
      </c>
      <c r="B269" s="8" t="s">
        <v>11</v>
      </c>
      <c r="C269" s="8" t="s">
        <v>12</v>
      </c>
      <c r="D269" s="8" t="s">
        <v>18</v>
      </c>
      <c r="E269" s="8" t="s">
        <v>14</v>
      </c>
      <c r="F269" s="10">
        <v>5922</v>
      </c>
      <c r="G269" s="10">
        <v>4249.6400000000003</v>
      </c>
      <c r="H269" s="10">
        <v>1101.25</v>
      </c>
      <c r="I269" s="8">
        <v>281</v>
      </c>
      <c r="J269" s="11">
        <v>0.02</v>
      </c>
      <c r="K269" s="10">
        <f t="shared" si="24"/>
        <v>1672.3599999999997</v>
      </c>
      <c r="L269" s="10">
        <f t="shared" si="25"/>
        <v>571.10999999999967</v>
      </c>
      <c r="M269" s="11">
        <f t="shared" si="26"/>
        <v>9.643870314083075E-2</v>
      </c>
      <c r="N269" s="8" t="str">
        <f t="shared" si="27"/>
        <v>July</v>
      </c>
      <c r="O269" s="8" t="str">
        <f t="shared" si="28"/>
        <v>Q3</v>
      </c>
      <c r="P269" s="8" t="str">
        <f t="shared" si="29"/>
        <v>2025</v>
      </c>
    </row>
    <row r="270" spans="1:16" x14ac:dyDescent="0.25">
      <c r="A270" s="9" t="s">
        <v>146</v>
      </c>
      <c r="B270" s="8" t="s">
        <v>16</v>
      </c>
      <c r="C270" s="8" t="s">
        <v>17</v>
      </c>
      <c r="D270" s="8" t="s">
        <v>27</v>
      </c>
      <c r="E270" s="8" t="s">
        <v>19</v>
      </c>
      <c r="F270" s="10">
        <v>15109</v>
      </c>
      <c r="G270" s="10">
        <v>7534.47</v>
      </c>
      <c r="H270" s="10">
        <v>2967.23</v>
      </c>
      <c r="I270" s="8">
        <v>404</v>
      </c>
      <c r="J270" s="11">
        <v>0.15</v>
      </c>
      <c r="K270" s="10">
        <f t="shared" si="24"/>
        <v>7574.53</v>
      </c>
      <c r="L270" s="10">
        <f t="shared" si="25"/>
        <v>4607.2999999999993</v>
      </c>
      <c r="M270" s="11">
        <f t="shared" si="26"/>
        <v>0.3049374544973194</v>
      </c>
      <c r="N270" s="8" t="str">
        <f t="shared" si="27"/>
        <v>July</v>
      </c>
      <c r="O270" s="8" t="str">
        <f t="shared" si="28"/>
        <v>Q3</v>
      </c>
      <c r="P270" s="8" t="str">
        <f t="shared" si="29"/>
        <v>2025</v>
      </c>
    </row>
    <row r="271" spans="1:16" x14ac:dyDescent="0.25">
      <c r="A271" s="9" t="s">
        <v>146</v>
      </c>
      <c r="B271" s="8" t="s">
        <v>24</v>
      </c>
      <c r="C271" s="8" t="s">
        <v>17</v>
      </c>
      <c r="D271" s="8" t="s">
        <v>13</v>
      </c>
      <c r="E271" s="8" t="s">
        <v>14</v>
      </c>
      <c r="F271" s="10">
        <v>25562</v>
      </c>
      <c r="G271" s="10">
        <v>18839.34</v>
      </c>
      <c r="H271" s="10">
        <v>3689.95</v>
      </c>
      <c r="I271" s="8">
        <v>282</v>
      </c>
      <c r="J271" s="11">
        <v>0.05</v>
      </c>
      <c r="K271" s="10">
        <f t="shared" si="24"/>
        <v>6722.66</v>
      </c>
      <c r="L271" s="10">
        <f t="shared" si="25"/>
        <v>3032.71</v>
      </c>
      <c r="M271" s="11">
        <f t="shared" si="26"/>
        <v>0.11864134261794852</v>
      </c>
      <c r="N271" s="8" t="str">
        <f t="shared" si="27"/>
        <v>July</v>
      </c>
      <c r="O271" s="8" t="str">
        <f t="shared" si="28"/>
        <v>Q3</v>
      </c>
      <c r="P271" s="8" t="str">
        <f t="shared" si="29"/>
        <v>2025</v>
      </c>
    </row>
    <row r="272" spans="1:16" x14ac:dyDescent="0.25">
      <c r="A272" s="9" t="s">
        <v>146</v>
      </c>
      <c r="B272" s="8" t="s">
        <v>24</v>
      </c>
      <c r="C272" s="8" t="s">
        <v>12</v>
      </c>
      <c r="D272" s="8" t="s">
        <v>18</v>
      </c>
      <c r="E272" s="8" t="s">
        <v>25</v>
      </c>
      <c r="F272" s="10">
        <v>10259</v>
      </c>
      <c r="G272" s="10">
        <v>6717.79</v>
      </c>
      <c r="H272" s="10">
        <v>1771.23</v>
      </c>
      <c r="I272" s="8">
        <v>286</v>
      </c>
      <c r="J272" s="11">
        <v>0.02</v>
      </c>
      <c r="K272" s="10">
        <f t="shared" si="24"/>
        <v>3541.21</v>
      </c>
      <c r="L272" s="10">
        <f t="shared" si="25"/>
        <v>1769.98</v>
      </c>
      <c r="M272" s="11">
        <f t="shared" si="26"/>
        <v>0.17252948630470807</v>
      </c>
      <c r="N272" s="8" t="str">
        <f t="shared" si="27"/>
        <v>July</v>
      </c>
      <c r="O272" s="8" t="str">
        <f t="shared" si="28"/>
        <v>Q3</v>
      </c>
      <c r="P272" s="8" t="str">
        <f t="shared" si="29"/>
        <v>2025</v>
      </c>
    </row>
    <row r="273" spans="1:16" x14ac:dyDescent="0.25">
      <c r="A273" s="9" t="s">
        <v>196</v>
      </c>
      <c r="B273" s="8" t="s">
        <v>21</v>
      </c>
      <c r="C273" s="8" t="s">
        <v>17</v>
      </c>
      <c r="D273" s="8" t="s">
        <v>27</v>
      </c>
      <c r="E273" s="8" t="s">
        <v>25</v>
      </c>
      <c r="F273" s="10">
        <v>35556</v>
      </c>
      <c r="G273" s="10">
        <v>21692.54</v>
      </c>
      <c r="H273" s="10">
        <v>4632.82</v>
      </c>
      <c r="I273" s="8">
        <v>143</v>
      </c>
      <c r="J273" s="11">
        <v>0.05</v>
      </c>
      <c r="K273" s="10">
        <f t="shared" si="24"/>
        <v>13863.46</v>
      </c>
      <c r="L273" s="10">
        <f t="shared" si="25"/>
        <v>9230.64</v>
      </c>
      <c r="M273" s="11">
        <f t="shared" si="26"/>
        <v>0.25960850489368881</v>
      </c>
      <c r="N273" s="8" t="str">
        <f t="shared" si="27"/>
        <v>July</v>
      </c>
      <c r="O273" s="8" t="str">
        <f t="shared" si="28"/>
        <v>Q3</v>
      </c>
      <c r="P273" s="8" t="str">
        <f t="shared" si="29"/>
        <v>2025</v>
      </c>
    </row>
    <row r="274" spans="1:16" x14ac:dyDescent="0.25">
      <c r="A274" s="9" t="s">
        <v>196</v>
      </c>
      <c r="B274" s="8" t="s">
        <v>11</v>
      </c>
      <c r="C274" s="8" t="s">
        <v>12</v>
      </c>
      <c r="D274" s="8" t="s">
        <v>13</v>
      </c>
      <c r="E274" s="8" t="s">
        <v>19</v>
      </c>
      <c r="F274" s="10">
        <v>16108</v>
      </c>
      <c r="G274" s="10">
        <v>7919.53</v>
      </c>
      <c r="H274" s="10">
        <v>1967.73</v>
      </c>
      <c r="I274" s="8">
        <v>262</v>
      </c>
      <c r="J274" s="11">
        <v>0.02</v>
      </c>
      <c r="K274" s="10">
        <f t="shared" si="24"/>
        <v>8188.47</v>
      </c>
      <c r="L274" s="10">
        <f t="shared" si="25"/>
        <v>6220.74</v>
      </c>
      <c r="M274" s="11">
        <f t="shared" si="26"/>
        <v>0.38618947107027563</v>
      </c>
      <c r="N274" s="8" t="str">
        <f t="shared" si="27"/>
        <v>July</v>
      </c>
      <c r="O274" s="8" t="str">
        <f t="shared" si="28"/>
        <v>Q3</v>
      </c>
      <c r="P274" s="8" t="str">
        <f t="shared" si="29"/>
        <v>2025</v>
      </c>
    </row>
    <row r="275" spans="1:16" x14ac:dyDescent="0.25">
      <c r="A275" s="9" t="s">
        <v>196</v>
      </c>
      <c r="B275" s="8" t="s">
        <v>21</v>
      </c>
      <c r="C275" s="8" t="s">
        <v>17</v>
      </c>
      <c r="D275" s="8" t="s">
        <v>27</v>
      </c>
      <c r="E275" s="8" t="s">
        <v>19</v>
      </c>
      <c r="F275" s="10">
        <v>28501</v>
      </c>
      <c r="G275" s="10">
        <v>18052.75</v>
      </c>
      <c r="H275" s="10">
        <v>5721.88</v>
      </c>
      <c r="I275" s="8">
        <v>460</v>
      </c>
      <c r="J275" s="11">
        <v>0.02</v>
      </c>
      <c r="K275" s="10">
        <f t="shared" si="24"/>
        <v>10448.25</v>
      </c>
      <c r="L275" s="10">
        <f t="shared" si="25"/>
        <v>4726.37</v>
      </c>
      <c r="M275" s="11">
        <f t="shared" si="26"/>
        <v>0.16583172520262446</v>
      </c>
      <c r="N275" s="8" t="str">
        <f t="shared" si="27"/>
        <v>July</v>
      </c>
      <c r="O275" s="8" t="str">
        <f t="shared" si="28"/>
        <v>Q3</v>
      </c>
      <c r="P275" s="8" t="str">
        <f t="shared" si="29"/>
        <v>2025</v>
      </c>
    </row>
    <row r="276" spans="1:16" x14ac:dyDescent="0.25">
      <c r="A276" s="9" t="s">
        <v>111</v>
      </c>
      <c r="B276" s="8" t="s">
        <v>16</v>
      </c>
      <c r="C276" s="8" t="s">
        <v>17</v>
      </c>
      <c r="D276" s="8" t="s">
        <v>22</v>
      </c>
      <c r="E276" s="8" t="s">
        <v>19</v>
      </c>
      <c r="F276" s="10">
        <v>45613</v>
      </c>
      <c r="G276" s="10">
        <v>29873.8</v>
      </c>
      <c r="H276" s="10">
        <v>6827.05</v>
      </c>
      <c r="I276" s="8">
        <v>308</v>
      </c>
      <c r="J276" s="11">
        <v>0.02</v>
      </c>
      <c r="K276" s="10">
        <f t="shared" si="24"/>
        <v>15739.2</v>
      </c>
      <c r="L276" s="10">
        <f t="shared" si="25"/>
        <v>8912.1500000000015</v>
      </c>
      <c r="M276" s="11">
        <f t="shared" si="26"/>
        <v>0.19538618376340081</v>
      </c>
      <c r="N276" s="8" t="str">
        <f t="shared" si="27"/>
        <v>July</v>
      </c>
      <c r="O276" s="8" t="str">
        <f t="shared" si="28"/>
        <v>Q3</v>
      </c>
      <c r="P276" s="8" t="str">
        <f t="shared" si="29"/>
        <v>2025</v>
      </c>
    </row>
    <row r="277" spans="1:16" x14ac:dyDescent="0.25">
      <c r="A277" s="9" t="s">
        <v>111</v>
      </c>
      <c r="B277" s="8" t="s">
        <v>11</v>
      </c>
      <c r="C277" s="8" t="s">
        <v>12</v>
      </c>
      <c r="D277" s="8" t="s">
        <v>13</v>
      </c>
      <c r="E277" s="8" t="s">
        <v>19</v>
      </c>
      <c r="F277" s="10">
        <v>13725</v>
      </c>
      <c r="G277" s="10">
        <v>8817.94</v>
      </c>
      <c r="H277" s="10">
        <v>2399.12</v>
      </c>
      <c r="I277" s="8">
        <v>45</v>
      </c>
      <c r="J277" s="11">
        <v>0.15</v>
      </c>
      <c r="K277" s="10">
        <f t="shared" si="24"/>
        <v>4907.0599999999995</v>
      </c>
      <c r="L277" s="10">
        <f t="shared" si="25"/>
        <v>2507.9399999999996</v>
      </c>
      <c r="M277" s="11">
        <f t="shared" si="26"/>
        <v>0.18272786885245898</v>
      </c>
      <c r="N277" s="8" t="str">
        <f t="shared" si="27"/>
        <v>July</v>
      </c>
      <c r="O277" s="8" t="str">
        <f t="shared" si="28"/>
        <v>Q3</v>
      </c>
      <c r="P277" s="8" t="str">
        <f t="shared" si="29"/>
        <v>2025</v>
      </c>
    </row>
    <row r="278" spans="1:16" x14ac:dyDescent="0.25">
      <c r="A278" s="9" t="s">
        <v>75</v>
      </c>
      <c r="B278" s="8" t="s">
        <v>21</v>
      </c>
      <c r="C278" s="8" t="s">
        <v>17</v>
      </c>
      <c r="D278" s="8" t="s">
        <v>27</v>
      </c>
      <c r="E278" s="8" t="s">
        <v>14</v>
      </c>
      <c r="F278" s="10">
        <v>15014</v>
      </c>
      <c r="G278" s="10">
        <v>9938.15</v>
      </c>
      <c r="H278" s="10">
        <v>1336.13</v>
      </c>
      <c r="I278" s="8">
        <v>218</v>
      </c>
      <c r="J278" s="11">
        <v>0.05</v>
      </c>
      <c r="K278" s="10">
        <f t="shared" si="24"/>
        <v>5075.8500000000004</v>
      </c>
      <c r="L278" s="10">
        <f t="shared" si="25"/>
        <v>3739.7200000000003</v>
      </c>
      <c r="M278" s="11">
        <f t="shared" si="26"/>
        <v>0.24908218995604103</v>
      </c>
      <c r="N278" s="8" t="str">
        <f t="shared" si="27"/>
        <v>July</v>
      </c>
      <c r="O278" s="8" t="str">
        <f t="shared" si="28"/>
        <v>Q3</v>
      </c>
      <c r="P278" s="8" t="str">
        <f t="shared" si="29"/>
        <v>2025</v>
      </c>
    </row>
    <row r="279" spans="1:16" x14ac:dyDescent="0.25">
      <c r="A279" s="9" t="s">
        <v>75</v>
      </c>
      <c r="B279" s="8" t="s">
        <v>21</v>
      </c>
      <c r="C279" s="8" t="s">
        <v>17</v>
      </c>
      <c r="D279" s="8" t="s">
        <v>18</v>
      </c>
      <c r="E279" s="8" t="s">
        <v>19</v>
      </c>
      <c r="F279" s="10">
        <v>20306</v>
      </c>
      <c r="G279" s="10">
        <v>14352.36</v>
      </c>
      <c r="H279" s="10">
        <v>2792.25</v>
      </c>
      <c r="I279" s="8">
        <v>172</v>
      </c>
      <c r="J279" s="11">
        <v>0.1</v>
      </c>
      <c r="K279" s="10">
        <f t="shared" si="24"/>
        <v>5953.6399999999994</v>
      </c>
      <c r="L279" s="10">
        <f t="shared" si="25"/>
        <v>3161.3899999999994</v>
      </c>
      <c r="M279" s="11">
        <f t="shared" si="26"/>
        <v>0.15568748153255194</v>
      </c>
      <c r="N279" s="8" t="str">
        <f t="shared" si="27"/>
        <v>July</v>
      </c>
      <c r="O279" s="8" t="str">
        <f t="shared" si="28"/>
        <v>Q3</v>
      </c>
      <c r="P279" s="8" t="str">
        <f t="shared" si="29"/>
        <v>2025</v>
      </c>
    </row>
    <row r="280" spans="1:16" x14ac:dyDescent="0.25">
      <c r="A280" s="9" t="s">
        <v>75</v>
      </c>
      <c r="B280" s="8" t="s">
        <v>21</v>
      </c>
      <c r="C280" s="8" t="s">
        <v>17</v>
      </c>
      <c r="D280" s="8" t="s">
        <v>13</v>
      </c>
      <c r="E280" s="8" t="s">
        <v>14</v>
      </c>
      <c r="F280" s="10">
        <v>41803</v>
      </c>
      <c r="G280" s="10">
        <v>25150</v>
      </c>
      <c r="H280" s="10">
        <v>6241.01</v>
      </c>
      <c r="I280" s="8">
        <v>360</v>
      </c>
      <c r="J280" s="11">
        <v>0.1</v>
      </c>
      <c r="K280" s="10">
        <f t="shared" si="24"/>
        <v>16653</v>
      </c>
      <c r="L280" s="10">
        <f t="shared" si="25"/>
        <v>10411.99</v>
      </c>
      <c r="M280" s="11">
        <f t="shared" si="26"/>
        <v>0.24907279381862546</v>
      </c>
      <c r="N280" s="8" t="str">
        <f t="shared" si="27"/>
        <v>July</v>
      </c>
      <c r="O280" s="8" t="str">
        <f t="shared" si="28"/>
        <v>Q3</v>
      </c>
      <c r="P280" s="8" t="str">
        <f t="shared" si="29"/>
        <v>2025</v>
      </c>
    </row>
    <row r="281" spans="1:16" x14ac:dyDescent="0.25">
      <c r="A281" s="9" t="s">
        <v>175</v>
      </c>
      <c r="B281" s="8" t="s">
        <v>11</v>
      </c>
      <c r="C281" s="8" t="s">
        <v>12</v>
      </c>
      <c r="D281" s="8" t="s">
        <v>27</v>
      </c>
      <c r="E281" s="8" t="s">
        <v>19</v>
      </c>
      <c r="F281" s="10">
        <v>38046</v>
      </c>
      <c r="G281" s="10">
        <v>22260.95</v>
      </c>
      <c r="H281" s="10">
        <v>5972.46</v>
      </c>
      <c r="I281" s="8">
        <v>432</v>
      </c>
      <c r="J281" s="11">
        <v>0.15</v>
      </c>
      <c r="K281" s="10">
        <f t="shared" si="24"/>
        <v>15785.05</v>
      </c>
      <c r="L281" s="10">
        <f t="shared" si="25"/>
        <v>9812.59</v>
      </c>
      <c r="M281" s="11">
        <f t="shared" si="26"/>
        <v>0.25791384113967303</v>
      </c>
      <c r="N281" s="8" t="str">
        <f t="shared" si="27"/>
        <v>July</v>
      </c>
      <c r="O281" s="8" t="str">
        <f t="shared" si="28"/>
        <v>Q3</v>
      </c>
      <c r="P281" s="8" t="str">
        <f t="shared" si="29"/>
        <v>2025</v>
      </c>
    </row>
    <row r="282" spans="1:16" x14ac:dyDescent="0.25">
      <c r="A282" s="9" t="s">
        <v>211</v>
      </c>
      <c r="B282" s="8" t="s">
        <v>16</v>
      </c>
      <c r="C282" s="8" t="s">
        <v>17</v>
      </c>
      <c r="D282" s="8" t="s">
        <v>27</v>
      </c>
      <c r="E282" s="8" t="s">
        <v>25</v>
      </c>
      <c r="F282" s="10">
        <v>45062</v>
      </c>
      <c r="G282" s="10">
        <v>25584.55</v>
      </c>
      <c r="H282" s="10">
        <v>4325.6099999999997</v>
      </c>
      <c r="I282" s="8">
        <v>190</v>
      </c>
      <c r="J282" s="11">
        <v>0.1</v>
      </c>
      <c r="K282" s="10">
        <f t="shared" si="24"/>
        <v>19477.45</v>
      </c>
      <c r="L282" s="10">
        <f t="shared" si="25"/>
        <v>15151.84</v>
      </c>
      <c r="M282" s="11">
        <f t="shared" si="26"/>
        <v>0.33624428565088099</v>
      </c>
      <c r="N282" s="8" t="str">
        <f t="shared" si="27"/>
        <v>July</v>
      </c>
      <c r="O282" s="8" t="str">
        <f t="shared" si="28"/>
        <v>Q3</v>
      </c>
      <c r="P282" s="8" t="str">
        <f t="shared" si="29"/>
        <v>2025</v>
      </c>
    </row>
    <row r="283" spans="1:16" x14ac:dyDescent="0.25">
      <c r="A283" s="9" t="s">
        <v>211</v>
      </c>
      <c r="B283" s="8" t="s">
        <v>21</v>
      </c>
      <c r="C283" s="8" t="s">
        <v>12</v>
      </c>
      <c r="D283" s="8" t="s">
        <v>22</v>
      </c>
      <c r="E283" s="8" t="s">
        <v>19</v>
      </c>
      <c r="F283" s="10">
        <v>48091</v>
      </c>
      <c r="G283" s="10">
        <v>30305.21</v>
      </c>
      <c r="H283" s="10">
        <v>9790.24</v>
      </c>
      <c r="I283" s="8">
        <v>268</v>
      </c>
      <c r="J283" s="11">
        <v>0.1</v>
      </c>
      <c r="K283" s="10">
        <f t="shared" si="24"/>
        <v>17785.79</v>
      </c>
      <c r="L283" s="10">
        <f t="shared" si="25"/>
        <v>7995.5500000000011</v>
      </c>
      <c r="M283" s="11">
        <f t="shared" si="26"/>
        <v>0.16625875943523738</v>
      </c>
      <c r="N283" s="8" t="str">
        <f t="shared" si="27"/>
        <v>July</v>
      </c>
      <c r="O283" s="8" t="str">
        <f t="shared" si="28"/>
        <v>Q3</v>
      </c>
      <c r="P283" s="8" t="str">
        <f t="shared" si="29"/>
        <v>2025</v>
      </c>
    </row>
    <row r="284" spans="1:16" x14ac:dyDescent="0.25">
      <c r="A284" s="9" t="s">
        <v>46</v>
      </c>
      <c r="B284" s="8" t="s">
        <v>21</v>
      </c>
      <c r="C284" s="8" t="s">
        <v>12</v>
      </c>
      <c r="D284" s="8" t="s">
        <v>18</v>
      </c>
      <c r="E284" s="8" t="s">
        <v>19</v>
      </c>
      <c r="F284" s="10">
        <v>22380</v>
      </c>
      <c r="G284" s="10">
        <v>16291.64</v>
      </c>
      <c r="H284" s="10">
        <v>4250.37</v>
      </c>
      <c r="I284" s="8">
        <v>156</v>
      </c>
      <c r="J284" s="11">
        <v>0.1</v>
      </c>
      <c r="K284" s="10">
        <f t="shared" si="24"/>
        <v>6088.3600000000006</v>
      </c>
      <c r="L284" s="10">
        <f t="shared" si="25"/>
        <v>1837.9900000000007</v>
      </c>
      <c r="M284" s="11">
        <f t="shared" si="26"/>
        <v>8.2126452189454899E-2</v>
      </c>
      <c r="N284" s="8" t="str">
        <f t="shared" si="27"/>
        <v>July</v>
      </c>
      <c r="O284" s="8" t="str">
        <f t="shared" si="28"/>
        <v>Q3</v>
      </c>
      <c r="P284" s="8" t="str">
        <f t="shared" si="29"/>
        <v>2025</v>
      </c>
    </row>
    <row r="285" spans="1:16" x14ac:dyDescent="0.25">
      <c r="A285" s="9" t="s">
        <v>271</v>
      </c>
      <c r="B285" s="8" t="s">
        <v>16</v>
      </c>
      <c r="C285" s="8" t="s">
        <v>17</v>
      </c>
      <c r="D285" s="8" t="s">
        <v>27</v>
      </c>
      <c r="E285" s="8" t="s">
        <v>19</v>
      </c>
      <c r="F285" s="10">
        <v>19634</v>
      </c>
      <c r="G285" s="10">
        <v>14086.05</v>
      </c>
      <c r="H285" s="10">
        <v>3191.39</v>
      </c>
      <c r="I285" s="8">
        <v>448</v>
      </c>
      <c r="J285" s="11">
        <v>0.05</v>
      </c>
      <c r="K285" s="10">
        <f t="shared" si="24"/>
        <v>5547.9500000000007</v>
      </c>
      <c r="L285" s="10">
        <f t="shared" si="25"/>
        <v>2356.5600000000009</v>
      </c>
      <c r="M285" s="11">
        <f t="shared" si="26"/>
        <v>0.12002444738718554</v>
      </c>
      <c r="N285" s="8" t="str">
        <f t="shared" si="27"/>
        <v>July</v>
      </c>
      <c r="O285" s="8" t="str">
        <f t="shared" si="28"/>
        <v>Q3</v>
      </c>
      <c r="P285" s="8" t="str">
        <f t="shared" si="29"/>
        <v>2025</v>
      </c>
    </row>
    <row r="286" spans="1:16" x14ac:dyDescent="0.25">
      <c r="A286" s="9" t="s">
        <v>178</v>
      </c>
      <c r="B286" s="8" t="s">
        <v>21</v>
      </c>
      <c r="C286" s="8" t="s">
        <v>17</v>
      </c>
      <c r="D286" s="8" t="s">
        <v>13</v>
      </c>
      <c r="E286" s="8" t="s">
        <v>14</v>
      </c>
      <c r="F286" s="10">
        <v>45402</v>
      </c>
      <c r="G286" s="10">
        <v>30500.87</v>
      </c>
      <c r="H286" s="10">
        <v>5534.18</v>
      </c>
      <c r="I286" s="8">
        <v>182</v>
      </c>
      <c r="J286" s="11">
        <v>0.15</v>
      </c>
      <c r="K286" s="10">
        <f t="shared" si="24"/>
        <v>14901.130000000001</v>
      </c>
      <c r="L286" s="10">
        <f t="shared" si="25"/>
        <v>9366.9500000000007</v>
      </c>
      <c r="M286" s="11">
        <f t="shared" si="26"/>
        <v>0.20631139597374568</v>
      </c>
      <c r="N286" s="8" t="str">
        <f t="shared" si="27"/>
        <v>July</v>
      </c>
      <c r="O286" s="8" t="str">
        <f t="shared" si="28"/>
        <v>Q3</v>
      </c>
      <c r="P286" s="8" t="str">
        <f t="shared" si="29"/>
        <v>2025</v>
      </c>
    </row>
    <row r="287" spans="1:16" x14ac:dyDescent="0.25">
      <c r="A287" s="9" t="s">
        <v>178</v>
      </c>
      <c r="B287" s="8" t="s">
        <v>11</v>
      </c>
      <c r="C287" s="8" t="s">
        <v>17</v>
      </c>
      <c r="D287" s="8" t="s">
        <v>13</v>
      </c>
      <c r="E287" s="8" t="s">
        <v>25</v>
      </c>
      <c r="F287" s="10">
        <v>39658</v>
      </c>
      <c r="G287" s="10">
        <v>19361.2</v>
      </c>
      <c r="H287" s="10">
        <v>8606.64</v>
      </c>
      <c r="I287" s="8">
        <v>437</v>
      </c>
      <c r="J287" s="11">
        <v>0</v>
      </c>
      <c r="K287" s="10">
        <f t="shared" si="24"/>
        <v>20296.8</v>
      </c>
      <c r="L287" s="10">
        <f t="shared" si="25"/>
        <v>11690.16</v>
      </c>
      <c r="M287" s="11">
        <f t="shared" si="26"/>
        <v>0.29477432043975993</v>
      </c>
      <c r="N287" s="8" t="str">
        <f t="shared" si="27"/>
        <v>July</v>
      </c>
      <c r="O287" s="8" t="str">
        <f t="shared" si="28"/>
        <v>Q3</v>
      </c>
      <c r="P287" s="8" t="str">
        <f t="shared" si="29"/>
        <v>2025</v>
      </c>
    </row>
    <row r="288" spans="1:16" x14ac:dyDescent="0.25">
      <c r="A288" s="9" t="s">
        <v>178</v>
      </c>
      <c r="B288" s="8" t="s">
        <v>16</v>
      </c>
      <c r="C288" s="8" t="s">
        <v>12</v>
      </c>
      <c r="D288" s="8" t="s">
        <v>13</v>
      </c>
      <c r="E288" s="8" t="s">
        <v>25</v>
      </c>
      <c r="F288" s="10">
        <v>28921</v>
      </c>
      <c r="G288" s="10">
        <v>14002.57</v>
      </c>
      <c r="H288" s="10">
        <v>4596.68</v>
      </c>
      <c r="I288" s="8">
        <v>313</v>
      </c>
      <c r="J288" s="11">
        <v>0.15</v>
      </c>
      <c r="K288" s="10">
        <f t="shared" si="24"/>
        <v>14918.43</v>
      </c>
      <c r="L288" s="10">
        <f t="shared" si="25"/>
        <v>10321.75</v>
      </c>
      <c r="M288" s="11">
        <f t="shared" si="26"/>
        <v>0.35689464403028942</v>
      </c>
      <c r="N288" s="8" t="str">
        <f t="shared" si="27"/>
        <v>July</v>
      </c>
      <c r="O288" s="8" t="str">
        <f t="shared" si="28"/>
        <v>Q3</v>
      </c>
      <c r="P288" s="8" t="str">
        <f t="shared" si="29"/>
        <v>2025</v>
      </c>
    </row>
    <row r="289" spans="1:16" x14ac:dyDescent="0.25">
      <c r="A289" s="9" t="s">
        <v>178</v>
      </c>
      <c r="B289" s="8" t="s">
        <v>11</v>
      </c>
      <c r="C289" s="8" t="s">
        <v>17</v>
      </c>
      <c r="D289" s="8" t="s">
        <v>27</v>
      </c>
      <c r="E289" s="8" t="s">
        <v>25</v>
      </c>
      <c r="F289" s="10">
        <v>19128</v>
      </c>
      <c r="G289" s="10">
        <v>11230.31</v>
      </c>
      <c r="H289" s="10">
        <v>3622.82</v>
      </c>
      <c r="I289" s="8">
        <v>376</v>
      </c>
      <c r="J289" s="11">
        <v>0.05</v>
      </c>
      <c r="K289" s="10">
        <f t="shared" si="24"/>
        <v>7897.6900000000005</v>
      </c>
      <c r="L289" s="10">
        <f t="shared" si="25"/>
        <v>4274.8700000000008</v>
      </c>
      <c r="M289" s="11">
        <f t="shared" si="26"/>
        <v>0.22348755750731916</v>
      </c>
      <c r="N289" s="8" t="str">
        <f t="shared" si="27"/>
        <v>July</v>
      </c>
      <c r="O289" s="8" t="str">
        <f t="shared" si="28"/>
        <v>Q3</v>
      </c>
      <c r="P289" s="8" t="str">
        <f t="shared" si="29"/>
        <v>2025</v>
      </c>
    </row>
    <row r="290" spans="1:16" x14ac:dyDescent="0.25">
      <c r="A290" s="9" t="s">
        <v>136</v>
      </c>
      <c r="B290" s="8" t="s">
        <v>16</v>
      </c>
      <c r="C290" s="8" t="s">
        <v>17</v>
      </c>
      <c r="D290" s="8" t="s">
        <v>22</v>
      </c>
      <c r="E290" s="8" t="s">
        <v>19</v>
      </c>
      <c r="F290" s="10">
        <v>44277</v>
      </c>
      <c r="G290" s="10">
        <v>20652.32</v>
      </c>
      <c r="H290" s="10">
        <v>4809.33</v>
      </c>
      <c r="I290" s="8">
        <v>494</v>
      </c>
      <c r="J290" s="11">
        <v>0.02</v>
      </c>
      <c r="K290" s="10">
        <f t="shared" si="24"/>
        <v>23624.68</v>
      </c>
      <c r="L290" s="10">
        <f t="shared" si="25"/>
        <v>18815.349999999999</v>
      </c>
      <c r="M290" s="11">
        <f t="shared" si="26"/>
        <v>0.42494636041285538</v>
      </c>
      <c r="N290" s="8" t="str">
        <f t="shared" si="27"/>
        <v>July</v>
      </c>
      <c r="O290" s="8" t="str">
        <f t="shared" si="28"/>
        <v>Q3</v>
      </c>
      <c r="P290" s="8" t="str">
        <f t="shared" si="29"/>
        <v>2025</v>
      </c>
    </row>
    <row r="291" spans="1:16" x14ac:dyDescent="0.25">
      <c r="A291" s="9" t="s">
        <v>163</v>
      </c>
      <c r="B291" s="8" t="s">
        <v>11</v>
      </c>
      <c r="C291" s="8" t="s">
        <v>12</v>
      </c>
      <c r="D291" s="8" t="s">
        <v>22</v>
      </c>
      <c r="E291" s="8" t="s">
        <v>25</v>
      </c>
      <c r="F291" s="10">
        <v>36369</v>
      </c>
      <c r="G291" s="10">
        <v>22101.759999999998</v>
      </c>
      <c r="H291" s="10">
        <v>6825.84</v>
      </c>
      <c r="I291" s="8">
        <v>431</v>
      </c>
      <c r="J291" s="11">
        <v>0.15</v>
      </c>
      <c r="K291" s="10">
        <f t="shared" si="24"/>
        <v>14267.240000000002</v>
      </c>
      <c r="L291" s="10">
        <f t="shared" si="25"/>
        <v>7441.4000000000015</v>
      </c>
      <c r="M291" s="11">
        <f t="shared" si="26"/>
        <v>0.2046083202727598</v>
      </c>
      <c r="N291" s="8" t="str">
        <f t="shared" si="27"/>
        <v>July</v>
      </c>
      <c r="O291" s="8" t="str">
        <f t="shared" si="28"/>
        <v>Q3</v>
      </c>
      <c r="P291" s="8" t="str">
        <f t="shared" si="29"/>
        <v>2025</v>
      </c>
    </row>
    <row r="292" spans="1:16" x14ac:dyDescent="0.25">
      <c r="A292" s="9" t="s">
        <v>163</v>
      </c>
      <c r="B292" s="8" t="s">
        <v>16</v>
      </c>
      <c r="C292" s="8" t="s">
        <v>17</v>
      </c>
      <c r="D292" s="8" t="s">
        <v>13</v>
      </c>
      <c r="E292" s="8" t="s">
        <v>19</v>
      </c>
      <c r="F292" s="10">
        <v>25915</v>
      </c>
      <c r="G292" s="10">
        <v>13927.61</v>
      </c>
      <c r="H292" s="10">
        <v>4594.58</v>
      </c>
      <c r="I292" s="8">
        <v>261</v>
      </c>
      <c r="J292" s="11">
        <v>0.15</v>
      </c>
      <c r="K292" s="10">
        <f t="shared" si="24"/>
        <v>11987.39</v>
      </c>
      <c r="L292" s="10">
        <f t="shared" si="25"/>
        <v>7392.8099999999995</v>
      </c>
      <c r="M292" s="11">
        <f t="shared" si="26"/>
        <v>0.28527146440285545</v>
      </c>
      <c r="N292" s="8" t="str">
        <f t="shared" si="27"/>
        <v>July</v>
      </c>
      <c r="O292" s="8" t="str">
        <f t="shared" si="28"/>
        <v>Q3</v>
      </c>
      <c r="P292" s="8" t="str">
        <f t="shared" si="29"/>
        <v>2025</v>
      </c>
    </row>
    <row r="293" spans="1:16" x14ac:dyDescent="0.25">
      <c r="A293" s="9" t="s">
        <v>163</v>
      </c>
      <c r="B293" s="8" t="s">
        <v>24</v>
      </c>
      <c r="C293" s="8" t="s">
        <v>17</v>
      </c>
      <c r="D293" s="8" t="s">
        <v>22</v>
      </c>
      <c r="E293" s="8" t="s">
        <v>25</v>
      </c>
      <c r="F293" s="10">
        <v>19275</v>
      </c>
      <c r="G293" s="10">
        <v>14271.95</v>
      </c>
      <c r="H293" s="10">
        <v>3767.85</v>
      </c>
      <c r="I293" s="8">
        <v>263</v>
      </c>
      <c r="J293" s="11">
        <v>0.05</v>
      </c>
      <c r="K293" s="10">
        <f t="shared" si="24"/>
        <v>5003.0499999999993</v>
      </c>
      <c r="L293" s="10">
        <f t="shared" si="25"/>
        <v>1235.1999999999994</v>
      </c>
      <c r="M293" s="11">
        <f t="shared" si="26"/>
        <v>6.4083009079118E-2</v>
      </c>
      <c r="N293" s="8" t="str">
        <f t="shared" si="27"/>
        <v>July</v>
      </c>
      <c r="O293" s="8" t="str">
        <f t="shared" si="28"/>
        <v>Q3</v>
      </c>
      <c r="P293" s="8" t="str">
        <f t="shared" si="29"/>
        <v>2025</v>
      </c>
    </row>
    <row r="294" spans="1:16" x14ac:dyDescent="0.25">
      <c r="A294" s="9" t="s">
        <v>163</v>
      </c>
      <c r="B294" s="8" t="s">
        <v>21</v>
      </c>
      <c r="C294" s="8" t="s">
        <v>17</v>
      </c>
      <c r="D294" s="8" t="s">
        <v>18</v>
      </c>
      <c r="E294" s="8" t="s">
        <v>19</v>
      </c>
      <c r="F294" s="10">
        <v>46642</v>
      </c>
      <c r="G294" s="10">
        <v>33905.1</v>
      </c>
      <c r="H294" s="10">
        <v>8179.35</v>
      </c>
      <c r="I294" s="8">
        <v>133</v>
      </c>
      <c r="J294" s="11">
        <v>0.05</v>
      </c>
      <c r="K294" s="10">
        <f t="shared" si="24"/>
        <v>12736.900000000001</v>
      </c>
      <c r="L294" s="10">
        <f t="shared" si="25"/>
        <v>4557.5500000000011</v>
      </c>
      <c r="M294" s="11">
        <f t="shared" si="26"/>
        <v>9.7713434243814609E-2</v>
      </c>
      <c r="N294" s="8" t="str">
        <f t="shared" si="27"/>
        <v>July</v>
      </c>
      <c r="O294" s="8" t="str">
        <f t="shared" si="28"/>
        <v>Q3</v>
      </c>
      <c r="P294" s="8" t="str">
        <f t="shared" si="29"/>
        <v>2025</v>
      </c>
    </row>
    <row r="295" spans="1:16" x14ac:dyDescent="0.25">
      <c r="A295" s="9" t="s">
        <v>163</v>
      </c>
      <c r="B295" s="8" t="s">
        <v>24</v>
      </c>
      <c r="C295" s="8" t="s">
        <v>17</v>
      </c>
      <c r="D295" s="8" t="s">
        <v>22</v>
      </c>
      <c r="E295" s="8" t="s">
        <v>19</v>
      </c>
      <c r="F295" s="10">
        <v>18349</v>
      </c>
      <c r="G295" s="10">
        <v>10531.75</v>
      </c>
      <c r="H295" s="10">
        <v>3481.36</v>
      </c>
      <c r="I295" s="8">
        <v>257</v>
      </c>
      <c r="J295" s="11">
        <v>0.02</v>
      </c>
      <c r="K295" s="10">
        <f t="shared" si="24"/>
        <v>7817.25</v>
      </c>
      <c r="L295" s="10">
        <f t="shared" si="25"/>
        <v>4335.8899999999994</v>
      </c>
      <c r="M295" s="11">
        <f t="shared" si="26"/>
        <v>0.23630116082620303</v>
      </c>
      <c r="N295" s="8" t="str">
        <f t="shared" si="27"/>
        <v>July</v>
      </c>
      <c r="O295" s="8" t="str">
        <f t="shared" si="28"/>
        <v>Q3</v>
      </c>
      <c r="P295" s="8" t="str">
        <f t="shared" si="29"/>
        <v>2025</v>
      </c>
    </row>
    <row r="296" spans="1:16" x14ac:dyDescent="0.25">
      <c r="A296" s="9" t="s">
        <v>220</v>
      </c>
      <c r="B296" s="8" t="s">
        <v>11</v>
      </c>
      <c r="C296" s="8" t="s">
        <v>17</v>
      </c>
      <c r="D296" s="8" t="s">
        <v>27</v>
      </c>
      <c r="E296" s="8" t="s">
        <v>25</v>
      </c>
      <c r="F296" s="10">
        <v>10401</v>
      </c>
      <c r="G296" s="10">
        <v>6679.12</v>
      </c>
      <c r="H296" s="10">
        <v>1614.98</v>
      </c>
      <c r="I296" s="8">
        <v>88</v>
      </c>
      <c r="J296" s="11">
        <v>0.05</v>
      </c>
      <c r="K296" s="10">
        <f t="shared" si="24"/>
        <v>3721.88</v>
      </c>
      <c r="L296" s="10">
        <f t="shared" si="25"/>
        <v>2106.9</v>
      </c>
      <c r="M296" s="11">
        <f t="shared" si="26"/>
        <v>0.20256706085953274</v>
      </c>
      <c r="N296" s="8" t="str">
        <f t="shared" si="27"/>
        <v>July</v>
      </c>
      <c r="O296" s="8" t="str">
        <f t="shared" si="28"/>
        <v>Q3</v>
      </c>
      <c r="P296" s="8" t="str">
        <f t="shared" si="29"/>
        <v>2025</v>
      </c>
    </row>
    <row r="297" spans="1:16" x14ac:dyDescent="0.25">
      <c r="A297" s="9" t="s">
        <v>43</v>
      </c>
      <c r="B297" s="8" t="s">
        <v>21</v>
      </c>
      <c r="C297" s="8" t="s">
        <v>12</v>
      </c>
      <c r="D297" s="8" t="s">
        <v>13</v>
      </c>
      <c r="E297" s="8" t="s">
        <v>14</v>
      </c>
      <c r="F297" s="10">
        <v>27236</v>
      </c>
      <c r="G297" s="10">
        <v>18797.68</v>
      </c>
      <c r="H297" s="10">
        <v>2595.5300000000002</v>
      </c>
      <c r="I297" s="8">
        <v>108</v>
      </c>
      <c r="J297" s="11">
        <v>0.02</v>
      </c>
      <c r="K297" s="10">
        <f t="shared" si="24"/>
        <v>8438.32</v>
      </c>
      <c r="L297" s="10">
        <f t="shared" si="25"/>
        <v>5842.7899999999991</v>
      </c>
      <c r="M297" s="11">
        <f t="shared" si="26"/>
        <v>0.21452452636216768</v>
      </c>
      <c r="N297" s="8" t="str">
        <f t="shared" si="27"/>
        <v>July</v>
      </c>
      <c r="O297" s="8" t="str">
        <f t="shared" si="28"/>
        <v>Q3</v>
      </c>
      <c r="P297" s="8" t="str">
        <f t="shared" si="29"/>
        <v>2025</v>
      </c>
    </row>
    <row r="298" spans="1:16" x14ac:dyDescent="0.25">
      <c r="A298" s="9" t="s">
        <v>43</v>
      </c>
      <c r="B298" s="8" t="s">
        <v>21</v>
      </c>
      <c r="C298" s="8" t="s">
        <v>17</v>
      </c>
      <c r="D298" s="8" t="s">
        <v>27</v>
      </c>
      <c r="E298" s="8" t="s">
        <v>14</v>
      </c>
      <c r="F298" s="10">
        <v>38724</v>
      </c>
      <c r="G298" s="10">
        <v>27009.14</v>
      </c>
      <c r="H298" s="10">
        <v>3104.16</v>
      </c>
      <c r="I298" s="8">
        <v>455</v>
      </c>
      <c r="J298" s="11">
        <v>0.15</v>
      </c>
      <c r="K298" s="10">
        <f t="shared" si="24"/>
        <v>11714.86</v>
      </c>
      <c r="L298" s="10">
        <f t="shared" si="25"/>
        <v>8610.7000000000007</v>
      </c>
      <c r="M298" s="11">
        <f t="shared" si="26"/>
        <v>0.22236080983369488</v>
      </c>
      <c r="N298" s="8" t="str">
        <f t="shared" si="27"/>
        <v>July</v>
      </c>
      <c r="O298" s="8" t="str">
        <f t="shared" si="28"/>
        <v>Q3</v>
      </c>
      <c r="P298" s="8" t="str">
        <f t="shared" si="29"/>
        <v>2025</v>
      </c>
    </row>
    <row r="299" spans="1:16" x14ac:dyDescent="0.25">
      <c r="A299" s="9" t="s">
        <v>43</v>
      </c>
      <c r="B299" s="8" t="s">
        <v>21</v>
      </c>
      <c r="C299" s="8" t="s">
        <v>17</v>
      </c>
      <c r="D299" s="8" t="s">
        <v>18</v>
      </c>
      <c r="E299" s="8" t="s">
        <v>14</v>
      </c>
      <c r="F299" s="10">
        <v>14427</v>
      </c>
      <c r="G299" s="10">
        <v>9167.9699999999993</v>
      </c>
      <c r="H299" s="10">
        <v>2529.25</v>
      </c>
      <c r="I299" s="8">
        <v>215</v>
      </c>
      <c r="J299" s="11">
        <v>0</v>
      </c>
      <c r="K299" s="10">
        <f t="shared" si="24"/>
        <v>5259.0300000000007</v>
      </c>
      <c r="L299" s="10">
        <f t="shared" si="25"/>
        <v>2729.7800000000007</v>
      </c>
      <c r="M299" s="11">
        <f t="shared" si="26"/>
        <v>0.18921328065432874</v>
      </c>
      <c r="N299" s="8" t="str">
        <f t="shared" si="27"/>
        <v>July</v>
      </c>
      <c r="O299" s="8" t="str">
        <f t="shared" si="28"/>
        <v>Q3</v>
      </c>
      <c r="P299" s="8" t="str">
        <f t="shared" si="29"/>
        <v>2025</v>
      </c>
    </row>
    <row r="300" spans="1:16" x14ac:dyDescent="0.25">
      <c r="A300" s="9" t="s">
        <v>43</v>
      </c>
      <c r="B300" s="8" t="s">
        <v>24</v>
      </c>
      <c r="C300" s="8" t="s">
        <v>12</v>
      </c>
      <c r="D300" s="8" t="s">
        <v>13</v>
      </c>
      <c r="E300" s="8" t="s">
        <v>19</v>
      </c>
      <c r="F300" s="10">
        <v>32023</v>
      </c>
      <c r="G300" s="10">
        <v>14754.58</v>
      </c>
      <c r="H300" s="10">
        <v>5023.57</v>
      </c>
      <c r="I300" s="8">
        <v>432</v>
      </c>
      <c r="J300" s="11">
        <v>0</v>
      </c>
      <c r="K300" s="10">
        <f t="shared" si="24"/>
        <v>17268.419999999998</v>
      </c>
      <c r="L300" s="10">
        <f t="shared" si="25"/>
        <v>12244.849999999999</v>
      </c>
      <c r="M300" s="11">
        <f t="shared" si="26"/>
        <v>0.38237672922586885</v>
      </c>
      <c r="N300" s="8" t="str">
        <f t="shared" si="27"/>
        <v>July</v>
      </c>
      <c r="O300" s="8" t="str">
        <f t="shared" si="28"/>
        <v>Q3</v>
      </c>
      <c r="P300" s="8" t="str">
        <f t="shared" si="29"/>
        <v>2025</v>
      </c>
    </row>
    <row r="301" spans="1:16" x14ac:dyDescent="0.25">
      <c r="A301" s="9" t="s">
        <v>201</v>
      </c>
      <c r="B301" s="8" t="s">
        <v>16</v>
      </c>
      <c r="C301" s="8" t="s">
        <v>12</v>
      </c>
      <c r="D301" s="8" t="s">
        <v>13</v>
      </c>
      <c r="E301" s="8" t="s">
        <v>19</v>
      </c>
      <c r="F301" s="10">
        <v>29855</v>
      </c>
      <c r="G301" s="10">
        <v>16812.87</v>
      </c>
      <c r="H301" s="10">
        <v>4377.96</v>
      </c>
      <c r="I301" s="8">
        <v>336</v>
      </c>
      <c r="J301" s="11">
        <v>0</v>
      </c>
      <c r="K301" s="10">
        <f t="shared" si="24"/>
        <v>13042.130000000001</v>
      </c>
      <c r="L301" s="10">
        <f t="shared" si="25"/>
        <v>8664.1700000000019</v>
      </c>
      <c r="M301" s="11">
        <f t="shared" si="26"/>
        <v>0.29020834031150566</v>
      </c>
      <c r="N301" s="8" t="str">
        <f t="shared" si="27"/>
        <v>July</v>
      </c>
      <c r="O301" s="8" t="str">
        <f t="shared" si="28"/>
        <v>Q3</v>
      </c>
      <c r="P301" s="8" t="str">
        <f t="shared" si="29"/>
        <v>2025</v>
      </c>
    </row>
    <row r="302" spans="1:16" x14ac:dyDescent="0.25">
      <c r="A302" s="9" t="s">
        <v>201</v>
      </c>
      <c r="B302" s="8" t="s">
        <v>24</v>
      </c>
      <c r="C302" s="8" t="s">
        <v>12</v>
      </c>
      <c r="D302" s="8" t="s">
        <v>13</v>
      </c>
      <c r="E302" s="8" t="s">
        <v>25</v>
      </c>
      <c r="F302" s="10">
        <v>30445</v>
      </c>
      <c r="G302" s="10">
        <v>20429.189999999999</v>
      </c>
      <c r="H302" s="10">
        <v>4920.62</v>
      </c>
      <c r="I302" s="8">
        <v>302</v>
      </c>
      <c r="J302" s="11">
        <v>0.02</v>
      </c>
      <c r="K302" s="10">
        <f t="shared" si="24"/>
        <v>10015.810000000001</v>
      </c>
      <c r="L302" s="10">
        <f t="shared" si="25"/>
        <v>5095.1900000000014</v>
      </c>
      <c r="M302" s="11">
        <f t="shared" si="26"/>
        <v>0.16735720151092137</v>
      </c>
      <c r="N302" s="8" t="str">
        <f t="shared" si="27"/>
        <v>July</v>
      </c>
      <c r="O302" s="8" t="str">
        <f t="shared" si="28"/>
        <v>Q3</v>
      </c>
      <c r="P302" s="8" t="str">
        <f t="shared" si="29"/>
        <v>2025</v>
      </c>
    </row>
    <row r="303" spans="1:16" x14ac:dyDescent="0.25">
      <c r="A303" s="9" t="s">
        <v>201</v>
      </c>
      <c r="B303" s="8" t="s">
        <v>11</v>
      </c>
      <c r="C303" s="8" t="s">
        <v>12</v>
      </c>
      <c r="D303" s="8" t="s">
        <v>13</v>
      </c>
      <c r="E303" s="8" t="s">
        <v>14</v>
      </c>
      <c r="F303" s="10">
        <v>28127</v>
      </c>
      <c r="G303" s="10">
        <v>19553.080000000002</v>
      </c>
      <c r="H303" s="10">
        <v>3608.82</v>
      </c>
      <c r="I303" s="8">
        <v>415</v>
      </c>
      <c r="J303" s="11">
        <v>0.1</v>
      </c>
      <c r="K303" s="10">
        <f t="shared" si="24"/>
        <v>8573.9199999999983</v>
      </c>
      <c r="L303" s="10">
        <f t="shared" si="25"/>
        <v>4965.0999999999985</v>
      </c>
      <c r="M303" s="11">
        <f t="shared" si="26"/>
        <v>0.17652433604721438</v>
      </c>
      <c r="N303" s="8" t="str">
        <f t="shared" si="27"/>
        <v>July</v>
      </c>
      <c r="O303" s="8" t="str">
        <f t="shared" si="28"/>
        <v>Q3</v>
      </c>
      <c r="P303" s="8" t="str">
        <f t="shared" si="29"/>
        <v>2025</v>
      </c>
    </row>
    <row r="304" spans="1:16" x14ac:dyDescent="0.25">
      <c r="A304" s="9" t="s">
        <v>89</v>
      </c>
      <c r="B304" s="8" t="s">
        <v>21</v>
      </c>
      <c r="C304" s="8" t="s">
        <v>12</v>
      </c>
      <c r="D304" s="8" t="s">
        <v>27</v>
      </c>
      <c r="E304" s="8" t="s">
        <v>19</v>
      </c>
      <c r="F304" s="10">
        <v>37019</v>
      </c>
      <c r="G304" s="10">
        <v>22824.17</v>
      </c>
      <c r="H304" s="10">
        <v>4207.04</v>
      </c>
      <c r="I304" s="8">
        <v>253</v>
      </c>
      <c r="J304" s="11">
        <v>0.1</v>
      </c>
      <c r="K304" s="10">
        <f t="shared" si="24"/>
        <v>14194.830000000002</v>
      </c>
      <c r="L304" s="10">
        <f t="shared" si="25"/>
        <v>9987.7900000000009</v>
      </c>
      <c r="M304" s="11">
        <f t="shared" si="26"/>
        <v>0.26980172343931497</v>
      </c>
      <c r="N304" s="8" t="str">
        <f t="shared" si="27"/>
        <v>July</v>
      </c>
      <c r="O304" s="8" t="str">
        <f t="shared" si="28"/>
        <v>Q3</v>
      </c>
      <c r="P304" s="8" t="str">
        <f t="shared" si="29"/>
        <v>2025</v>
      </c>
    </row>
    <row r="305" spans="1:16" x14ac:dyDescent="0.25">
      <c r="A305" s="9" t="s">
        <v>89</v>
      </c>
      <c r="B305" s="8" t="s">
        <v>11</v>
      </c>
      <c r="C305" s="8" t="s">
        <v>12</v>
      </c>
      <c r="D305" s="8" t="s">
        <v>13</v>
      </c>
      <c r="E305" s="8" t="s">
        <v>25</v>
      </c>
      <c r="F305" s="10">
        <v>11108</v>
      </c>
      <c r="G305" s="10">
        <v>5747.39</v>
      </c>
      <c r="H305" s="10">
        <v>2197.13</v>
      </c>
      <c r="I305" s="8">
        <v>68</v>
      </c>
      <c r="J305" s="11">
        <v>0.1</v>
      </c>
      <c r="K305" s="10">
        <f t="shared" si="24"/>
        <v>5360.61</v>
      </c>
      <c r="L305" s="10">
        <f t="shared" si="25"/>
        <v>3163.4799999999996</v>
      </c>
      <c r="M305" s="11">
        <f t="shared" si="26"/>
        <v>0.28479294202376659</v>
      </c>
      <c r="N305" s="8" t="str">
        <f t="shared" si="27"/>
        <v>July</v>
      </c>
      <c r="O305" s="8" t="str">
        <f t="shared" si="28"/>
        <v>Q3</v>
      </c>
      <c r="P305" s="8" t="str">
        <f t="shared" si="29"/>
        <v>2025</v>
      </c>
    </row>
    <row r="306" spans="1:16" x14ac:dyDescent="0.25">
      <c r="A306" s="9" t="s">
        <v>250</v>
      </c>
      <c r="B306" s="8" t="s">
        <v>21</v>
      </c>
      <c r="C306" s="8" t="s">
        <v>12</v>
      </c>
      <c r="D306" s="8" t="s">
        <v>18</v>
      </c>
      <c r="E306" s="8" t="s">
        <v>25</v>
      </c>
      <c r="F306" s="10">
        <v>38638</v>
      </c>
      <c r="G306" s="10">
        <v>17619.53</v>
      </c>
      <c r="H306" s="10">
        <v>7311.95</v>
      </c>
      <c r="I306" s="8">
        <v>402</v>
      </c>
      <c r="J306" s="11">
        <v>0</v>
      </c>
      <c r="K306" s="10">
        <f t="shared" si="24"/>
        <v>21018.47</v>
      </c>
      <c r="L306" s="10">
        <f t="shared" si="25"/>
        <v>13706.52</v>
      </c>
      <c r="M306" s="11">
        <f t="shared" si="26"/>
        <v>0.35474196386976553</v>
      </c>
      <c r="N306" s="8" t="str">
        <f t="shared" si="27"/>
        <v>July</v>
      </c>
      <c r="O306" s="8" t="str">
        <f t="shared" si="28"/>
        <v>Q3</v>
      </c>
      <c r="P306" s="8" t="str">
        <f t="shared" si="29"/>
        <v>2025</v>
      </c>
    </row>
    <row r="307" spans="1:16" x14ac:dyDescent="0.25">
      <c r="A307" s="9" t="s">
        <v>275</v>
      </c>
      <c r="B307" s="8" t="s">
        <v>16</v>
      </c>
      <c r="C307" s="8" t="s">
        <v>12</v>
      </c>
      <c r="D307" s="8" t="s">
        <v>18</v>
      </c>
      <c r="E307" s="8" t="s">
        <v>14</v>
      </c>
      <c r="F307" s="10">
        <v>6471</v>
      </c>
      <c r="G307" s="10">
        <v>3384.99</v>
      </c>
      <c r="H307" s="10">
        <v>633.54</v>
      </c>
      <c r="I307" s="8">
        <v>313</v>
      </c>
      <c r="J307" s="11">
        <v>0.02</v>
      </c>
      <c r="K307" s="10">
        <f t="shared" si="24"/>
        <v>3086.01</v>
      </c>
      <c r="L307" s="10">
        <f t="shared" si="25"/>
        <v>2452.4700000000003</v>
      </c>
      <c r="M307" s="11">
        <f t="shared" si="26"/>
        <v>0.37899397311080207</v>
      </c>
      <c r="N307" s="8" t="str">
        <f t="shared" si="27"/>
        <v>July</v>
      </c>
      <c r="O307" s="8" t="str">
        <f t="shared" si="28"/>
        <v>Q3</v>
      </c>
      <c r="P307" s="8" t="str">
        <f t="shared" si="29"/>
        <v>2025</v>
      </c>
    </row>
    <row r="308" spans="1:16" x14ac:dyDescent="0.25">
      <c r="A308" s="9" t="s">
        <v>59</v>
      </c>
      <c r="B308" s="8" t="s">
        <v>16</v>
      </c>
      <c r="C308" s="8" t="s">
        <v>17</v>
      </c>
      <c r="D308" s="8" t="s">
        <v>18</v>
      </c>
      <c r="E308" s="8" t="s">
        <v>25</v>
      </c>
      <c r="F308" s="10">
        <v>6624</v>
      </c>
      <c r="G308" s="10">
        <v>3337.23</v>
      </c>
      <c r="H308" s="10">
        <v>1387.25</v>
      </c>
      <c r="I308" s="8">
        <v>410</v>
      </c>
      <c r="J308" s="11">
        <v>0.1</v>
      </c>
      <c r="K308" s="10">
        <f t="shared" si="24"/>
        <v>3286.77</v>
      </c>
      <c r="L308" s="10">
        <f t="shared" si="25"/>
        <v>1899.52</v>
      </c>
      <c r="M308" s="11">
        <f t="shared" si="26"/>
        <v>0.2867632850241546</v>
      </c>
      <c r="N308" s="8" t="str">
        <f t="shared" si="27"/>
        <v>July</v>
      </c>
      <c r="O308" s="8" t="str">
        <f t="shared" si="28"/>
        <v>Q3</v>
      </c>
      <c r="P308" s="8" t="str">
        <f t="shared" si="29"/>
        <v>2025</v>
      </c>
    </row>
    <row r="309" spans="1:16" x14ac:dyDescent="0.25">
      <c r="A309" s="9" t="s">
        <v>59</v>
      </c>
      <c r="B309" s="8" t="s">
        <v>24</v>
      </c>
      <c r="C309" s="8" t="s">
        <v>17</v>
      </c>
      <c r="D309" s="8" t="s">
        <v>22</v>
      </c>
      <c r="E309" s="8" t="s">
        <v>25</v>
      </c>
      <c r="F309" s="10">
        <v>27212</v>
      </c>
      <c r="G309" s="10">
        <v>19000.12</v>
      </c>
      <c r="H309" s="10">
        <v>3695.99</v>
      </c>
      <c r="I309" s="8">
        <v>383</v>
      </c>
      <c r="J309" s="11">
        <v>0</v>
      </c>
      <c r="K309" s="10">
        <f t="shared" si="24"/>
        <v>8211.880000000001</v>
      </c>
      <c r="L309" s="10">
        <f t="shared" si="25"/>
        <v>4515.8900000000012</v>
      </c>
      <c r="M309" s="11">
        <f t="shared" si="26"/>
        <v>0.16595215346170811</v>
      </c>
      <c r="N309" s="8" t="str">
        <f t="shared" si="27"/>
        <v>July</v>
      </c>
      <c r="O309" s="8" t="str">
        <f t="shared" si="28"/>
        <v>Q3</v>
      </c>
      <c r="P309" s="8" t="str">
        <f t="shared" si="29"/>
        <v>2025</v>
      </c>
    </row>
    <row r="310" spans="1:16" x14ac:dyDescent="0.25">
      <c r="A310" s="9" t="s">
        <v>225</v>
      </c>
      <c r="B310" s="8" t="s">
        <v>11</v>
      </c>
      <c r="C310" s="8" t="s">
        <v>12</v>
      </c>
      <c r="D310" s="8" t="s">
        <v>18</v>
      </c>
      <c r="E310" s="8" t="s">
        <v>25</v>
      </c>
      <c r="F310" s="10">
        <v>25967</v>
      </c>
      <c r="G310" s="10">
        <v>13798.28</v>
      </c>
      <c r="H310" s="10">
        <v>2360.5100000000002</v>
      </c>
      <c r="I310" s="8">
        <v>200</v>
      </c>
      <c r="J310" s="11">
        <v>0</v>
      </c>
      <c r="K310" s="10">
        <f t="shared" si="24"/>
        <v>12168.72</v>
      </c>
      <c r="L310" s="10">
        <f t="shared" si="25"/>
        <v>9808.2099999999991</v>
      </c>
      <c r="M310" s="11">
        <f t="shared" si="26"/>
        <v>0.3777182577887318</v>
      </c>
      <c r="N310" s="8" t="str">
        <f t="shared" si="27"/>
        <v>August</v>
      </c>
      <c r="O310" s="8" t="str">
        <f t="shared" si="28"/>
        <v>Q3</v>
      </c>
      <c r="P310" s="8" t="str">
        <f t="shared" si="29"/>
        <v>2025</v>
      </c>
    </row>
    <row r="311" spans="1:16" x14ac:dyDescent="0.25">
      <c r="A311" s="9" t="s">
        <v>240</v>
      </c>
      <c r="B311" s="8" t="s">
        <v>21</v>
      </c>
      <c r="C311" s="8" t="s">
        <v>12</v>
      </c>
      <c r="D311" s="8" t="s">
        <v>13</v>
      </c>
      <c r="E311" s="8" t="s">
        <v>25</v>
      </c>
      <c r="F311" s="10">
        <v>15901</v>
      </c>
      <c r="G311" s="10">
        <v>11375.03</v>
      </c>
      <c r="H311" s="10">
        <v>2369.75</v>
      </c>
      <c r="I311" s="8">
        <v>203</v>
      </c>
      <c r="J311" s="11">
        <v>0.05</v>
      </c>
      <c r="K311" s="10">
        <f t="shared" si="24"/>
        <v>4525.9699999999993</v>
      </c>
      <c r="L311" s="10">
        <f t="shared" si="25"/>
        <v>2156.2199999999993</v>
      </c>
      <c r="M311" s="11">
        <f t="shared" si="26"/>
        <v>0.13560279227721522</v>
      </c>
      <c r="N311" s="8" t="str">
        <f t="shared" si="27"/>
        <v>August</v>
      </c>
      <c r="O311" s="8" t="str">
        <f t="shared" si="28"/>
        <v>Q3</v>
      </c>
      <c r="P311" s="8" t="str">
        <f t="shared" si="29"/>
        <v>2025</v>
      </c>
    </row>
    <row r="312" spans="1:16" x14ac:dyDescent="0.25">
      <c r="A312" s="9" t="s">
        <v>240</v>
      </c>
      <c r="B312" s="8" t="s">
        <v>21</v>
      </c>
      <c r="C312" s="8" t="s">
        <v>17</v>
      </c>
      <c r="D312" s="8" t="s">
        <v>27</v>
      </c>
      <c r="E312" s="8" t="s">
        <v>19</v>
      </c>
      <c r="F312" s="10">
        <v>40095</v>
      </c>
      <c r="G312" s="10">
        <v>26307.15</v>
      </c>
      <c r="H312" s="10">
        <v>8463.68</v>
      </c>
      <c r="I312" s="8">
        <v>303</v>
      </c>
      <c r="J312" s="11">
        <v>0.02</v>
      </c>
      <c r="K312" s="10">
        <f t="shared" si="24"/>
        <v>13787.849999999999</v>
      </c>
      <c r="L312" s="10">
        <f t="shared" si="25"/>
        <v>5324.1699999999983</v>
      </c>
      <c r="M312" s="11">
        <f t="shared" si="26"/>
        <v>0.13278887641850601</v>
      </c>
      <c r="N312" s="8" t="str">
        <f t="shared" si="27"/>
        <v>August</v>
      </c>
      <c r="O312" s="8" t="str">
        <f t="shared" si="28"/>
        <v>Q3</v>
      </c>
      <c r="P312" s="8" t="str">
        <f t="shared" si="29"/>
        <v>2025</v>
      </c>
    </row>
    <row r="313" spans="1:16" x14ac:dyDescent="0.25">
      <c r="A313" s="9" t="s">
        <v>76</v>
      </c>
      <c r="B313" s="8" t="s">
        <v>21</v>
      </c>
      <c r="C313" s="8" t="s">
        <v>17</v>
      </c>
      <c r="D313" s="8" t="s">
        <v>27</v>
      </c>
      <c r="E313" s="8" t="s">
        <v>19</v>
      </c>
      <c r="F313" s="10">
        <v>30524</v>
      </c>
      <c r="G313" s="10">
        <v>22021.59</v>
      </c>
      <c r="H313" s="10">
        <v>4937.8999999999996</v>
      </c>
      <c r="I313" s="8">
        <v>366</v>
      </c>
      <c r="J313" s="11">
        <v>0</v>
      </c>
      <c r="K313" s="10">
        <f t="shared" si="24"/>
        <v>8502.41</v>
      </c>
      <c r="L313" s="10">
        <f t="shared" si="25"/>
        <v>3564.51</v>
      </c>
      <c r="M313" s="11">
        <f t="shared" si="26"/>
        <v>0.11677729000131046</v>
      </c>
      <c r="N313" s="8" t="str">
        <f t="shared" si="27"/>
        <v>August</v>
      </c>
      <c r="O313" s="8" t="str">
        <f t="shared" si="28"/>
        <v>Q3</v>
      </c>
      <c r="P313" s="8" t="str">
        <f t="shared" si="29"/>
        <v>2025</v>
      </c>
    </row>
    <row r="314" spans="1:16" x14ac:dyDescent="0.25">
      <c r="A314" s="9" t="s">
        <v>76</v>
      </c>
      <c r="B314" s="8" t="s">
        <v>21</v>
      </c>
      <c r="C314" s="8" t="s">
        <v>12</v>
      </c>
      <c r="D314" s="8" t="s">
        <v>13</v>
      </c>
      <c r="E314" s="8" t="s">
        <v>14</v>
      </c>
      <c r="F314" s="10">
        <v>24644</v>
      </c>
      <c r="G314" s="10">
        <v>14669.82</v>
      </c>
      <c r="H314" s="10">
        <v>2236.91</v>
      </c>
      <c r="I314" s="8">
        <v>138</v>
      </c>
      <c r="J314" s="11">
        <v>0.02</v>
      </c>
      <c r="K314" s="10">
        <f t="shared" si="24"/>
        <v>9974.18</v>
      </c>
      <c r="L314" s="10">
        <f t="shared" si="25"/>
        <v>7737.27</v>
      </c>
      <c r="M314" s="11">
        <f t="shared" si="26"/>
        <v>0.31396161337445222</v>
      </c>
      <c r="N314" s="8" t="str">
        <f t="shared" si="27"/>
        <v>August</v>
      </c>
      <c r="O314" s="8" t="str">
        <f t="shared" si="28"/>
        <v>Q3</v>
      </c>
      <c r="P314" s="8" t="str">
        <f t="shared" si="29"/>
        <v>2025</v>
      </c>
    </row>
    <row r="315" spans="1:16" x14ac:dyDescent="0.25">
      <c r="A315" s="9" t="s">
        <v>270</v>
      </c>
      <c r="B315" s="8" t="s">
        <v>24</v>
      </c>
      <c r="C315" s="8" t="s">
        <v>17</v>
      </c>
      <c r="D315" s="8" t="s">
        <v>18</v>
      </c>
      <c r="E315" s="8" t="s">
        <v>25</v>
      </c>
      <c r="F315" s="10">
        <v>16051</v>
      </c>
      <c r="G315" s="10">
        <v>7246.22</v>
      </c>
      <c r="H315" s="10">
        <v>1837.27</v>
      </c>
      <c r="I315" s="8">
        <v>123</v>
      </c>
      <c r="J315" s="11">
        <v>0.1</v>
      </c>
      <c r="K315" s="10">
        <f t="shared" si="24"/>
        <v>8804.7799999999988</v>
      </c>
      <c r="L315" s="10">
        <f t="shared" si="25"/>
        <v>6967.5099999999984</v>
      </c>
      <c r="M315" s="11">
        <f t="shared" si="26"/>
        <v>0.43408572674599705</v>
      </c>
      <c r="N315" s="8" t="str">
        <f t="shared" si="27"/>
        <v>August</v>
      </c>
      <c r="O315" s="8" t="str">
        <f t="shared" si="28"/>
        <v>Q3</v>
      </c>
      <c r="P315" s="8" t="str">
        <f t="shared" si="29"/>
        <v>2025</v>
      </c>
    </row>
    <row r="316" spans="1:16" x14ac:dyDescent="0.25">
      <c r="A316" s="9" t="s">
        <v>205</v>
      </c>
      <c r="B316" s="8" t="s">
        <v>11</v>
      </c>
      <c r="C316" s="8" t="s">
        <v>17</v>
      </c>
      <c r="D316" s="8" t="s">
        <v>27</v>
      </c>
      <c r="E316" s="8" t="s">
        <v>25</v>
      </c>
      <c r="F316" s="10">
        <v>34415</v>
      </c>
      <c r="G316" s="10">
        <v>21237.34</v>
      </c>
      <c r="H316" s="10">
        <v>5222.1899999999996</v>
      </c>
      <c r="I316" s="8">
        <v>62</v>
      </c>
      <c r="J316" s="11">
        <v>0</v>
      </c>
      <c r="K316" s="10">
        <f t="shared" si="24"/>
        <v>13177.66</v>
      </c>
      <c r="L316" s="10">
        <f t="shared" si="25"/>
        <v>7955.47</v>
      </c>
      <c r="M316" s="11">
        <f t="shared" si="26"/>
        <v>0.23116286502978353</v>
      </c>
      <c r="N316" s="8" t="str">
        <f t="shared" si="27"/>
        <v>August</v>
      </c>
      <c r="O316" s="8" t="str">
        <f t="shared" si="28"/>
        <v>Q3</v>
      </c>
      <c r="P316" s="8" t="str">
        <f t="shared" si="29"/>
        <v>2025</v>
      </c>
    </row>
    <row r="317" spans="1:16" x14ac:dyDescent="0.25">
      <c r="A317" s="9" t="s">
        <v>205</v>
      </c>
      <c r="B317" s="8" t="s">
        <v>16</v>
      </c>
      <c r="C317" s="8" t="s">
        <v>17</v>
      </c>
      <c r="D317" s="8" t="s">
        <v>22</v>
      </c>
      <c r="E317" s="8" t="s">
        <v>14</v>
      </c>
      <c r="F317" s="10">
        <v>47666</v>
      </c>
      <c r="G317" s="10">
        <v>35380.93</v>
      </c>
      <c r="H317" s="10">
        <v>4721.67</v>
      </c>
      <c r="I317" s="8">
        <v>174</v>
      </c>
      <c r="J317" s="11">
        <v>0.15</v>
      </c>
      <c r="K317" s="10">
        <f t="shared" si="24"/>
        <v>12285.07</v>
      </c>
      <c r="L317" s="10">
        <f t="shared" si="25"/>
        <v>7563.4</v>
      </c>
      <c r="M317" s="11">
        <f t="shared" si="26"/>
        <v>0.15867494650274827</v>
      </c>
      <c r="N317" s="8" t="str">
        <f t="shared" si="27"/>
        <v>August</v>
      </c>
      <c r="O317" s="8" t="str">
        <f t="shared" si="28"/>
        <v>Q3</v>
      </c>
      <c r="P317" s="8" t="str">
        <f t="shared" si="29"/>
        <v>2025</v>
      </c>
    </row>
    <row r="318" spans="1:16" x14ac:dyDescent="0.25">
      <c r="A318" s="9" t="s">
        <v>63</v>
      </c>
      <c r="B318" s="8" t="s">
        <v>11</v>
      </c>
      <c r="C318" s="8" t="s">
        <v>17</v>
      </c>
      <c r="D318" s="8" t="s">
        <v>18</v>
      </c>
      <c r="E318" s="8" t="s">
        <v>19</v>
      </c>
      <c r="F318" s="10">
        <v>27654</v>
      </c>
      <c r="G318" s="10">
        <v>18488.46</v>
      </c>
      <c r="H318" s="10">
        <v>3426.74</v>
      </c>
      <c r="I318" s="8">
        <v>320</v>
      </c>
      <c r="J318" s="11">
        <v>0.15</v>
      </c>
      <c r="K318" s="10">
        <f t="shared" si="24"/>
        <v>9165.5400000000009</v>
      </c>
      <c r="L318" s="10">
        <f t="shared" si="25"/>
        <v>5738.8000000000011</v>
      </c>
      <c r="M318" s="11">
        <f t="shared" si="26"/>
        <v>0.20752151587473788</v>
      </c>
      <c r="N318" s="8" t="str">
        <f t="shared" si="27"/>
        <v>August</v>
      </c>
      <c r="O318" s="8" t="str">
        <f t="shared" si="28"/>
        <v>Q3</v>
      </c>
      <c r="P318" s="8" t="str">
        <f t="shared" si="29"/>
        <v>2025</v>
      </c>
    </row>
    <row r="319" spans="1:16" x14ac:dyDescent="0.25">
      <c r="A319" s="9" t="s">
        <v>63</v>
      </c>
      <c r="B319" s="8" t="s">
        <v>11</v>
      </c>
      <c r="C319" s="8" t="s">
        <v>12</v>
      </c>
      <c r="D319" s="8" t="s">
        <v>18</v>
      </c>
      <c r="E319" s="8" t="s">
        <v>25</v>
      </c>
      <c r="F319" s="10">
        <v>46516</v>
      </c>
      <c r="G319" s="10">
        <v>26924.53</v>
      </c>
      <c r="H319" s="10">
        <v>6515.2</v>
      </c>
      <c r="I319" s="8">
        <v>254</v>
      </c>
      <c r="J319" s="11">
        <v>0.1</v>
      </c>
      <c r="K319" s="10">
        <f t="shared" si="24"/>
        <v>19591.47</v>
      </c>
      <c r="L319" s="10">
        <f t="shared" si="25"/>
        <v>13076.27</v>
      </c>
      <c r="M319" s="11">
        <f t="shared" si="26"/>
        <v>0.28111338034224786</v>
      </c>
      <c r="N319" s="8" t="str">
        <f t="shared" si="27"/>
        <v>August</v>
      </c>
      <c r="O319" s="8" t="str">
        <f t="shared" si="28"/>
        <v>Q3</v>
      </c>
      <c r="P319" s="8" t="str">
        <f t="shared" si="29"/>
        <v>2025</v>
      </c>
    </row>
    <row r="320" spans="1:16" x14ac:dyDescent="0.25">
      <c r="A320" s="9" t="s">
        <v>78</v>
      </c>
      <c r="B320" s="8" t="s">
        <v>16</v>
      </c>
      <c r="C320" s="8" t="s">
        <v>17</v>
      </c>
      <c r="D320" s="8" t="s">
        <v>18</v>
      </c>
      <c r="E320" s="8" t="s">
        <v>25</v>
      </c>
      <c r="F320" s="10">
        <v>36827</v>
      </c>
      <c r="G320" s="10">
        <v>16892.82</v>
      </c>
      <c r="H320" s="10">
        <v>4679.17</v>
      </c>
      <c r="I320" s="8">
        <v>357</v>
      </c>
      <c r="J320" s="11">
        <v>0.1</v>
      </c>
      <c r="K320" s="10">
        <f t="shared" si="24"/>
        <v>19934.18</v>
      </c>
      <c r="L320" s="10">
        <f t="shared" si="25"/>
        <v>15255.01</v>
      </c>
      <c r="M320" s="11">
        <f t="shared" si="26"/>
        <v>0.41423439324408723</v>
      </c>
      <c r="N320" s="8" t="str">
        <f t="shared" si="27"/>
        <v>August</v>
      </c>
      <c r="O320" s="8" t="str">
        <f t="shared" si="28"/>
        <v>Q3</v>
      </c>
      <c r="P320" s="8" t="str">
        <f t="shared" si="29"/>
        <v>2025</v>
      </c>
    </row>
    <row r="321" spans="1:16" x14ac:dyDescent="0.25">
      <c r="A321" s="9" t="s">
        <v>102</v>
      </c>
      <c r="B321" s="8" t="s">
        <v>16</v>
      </c>
      <c r="C321" s="8" t="s">
        <v>17</v>
      </c>
      <c r="D321" s="8" t="s">
        <v>27</v>
      </c>
      <c r="E321" s="8" t="s">
        <v>25</v>
      </c>
      <c r="F321" s="10">
        <v>36766</v>
      </c>
      <c r="G321" s="10">
        <v>17884.009999999998</v>
      </c>
      <c r="H321" s="10">
        <v>7950.3</v>
      </c>
      <c r="I321" s="8">
        <v>321</v>
      </c>
      <c r="J321" s="11">
        <v>0.02</v>
      </c>
      <c r="K321" s="10">
        <f t="shared" si="24"/>
        <v>18881.990000000002</v>
      </c>
      <c r="L321" s="10">
        <f t="shared" si="25"/>
        <v>10931.690000000002</v>
      </c>
      <c r="M321" s="11">
        <f t="shared" si="26"/>
        <v>0.29733150193113211</v>
      </c>
      <c r="N321" s="8" t="str">
        <f t="shared" si="27"/>
        <v>August</v>
      </c>
      <c r="O321" s="8" t="str">
        <f t="shared" si="28"/>
        <v>Q3</v>
      </c>
      <c r="P321" s="8" t="str">
        <f t="shared" si="29"/>
        <v>2025</v>
      </c>
    </row>
    <row r="322" spans="1:16" x14ac:dyDescent="0.25">
      <c r="A322" s="9" t="s">
        <v>102</v>
      </c>
      <c r="B322" s="8" t="s">
        <v>24</v>
      </c>
      <c r="C322" s="8" t="s">
        <v>17</v>
      </c>
      <c r="D322" s="8" t="s">
        <v>13</v>
      </c>
      <c r="E322" s="8" t="s">
        <v>19</v>
      </c>
      <c r="F322" s="10">
        <v>33797</v>
      </c>
      <c r="G322" s="10">
        <v>20522.23</v>
      </c>
      <c r="H322" s="10">
        <v>5589.1</v>
      </c>
      <c r="I322" s="8">
        <v>196</v>
      </c>
      <c r="J322" s="11">
        <v>0.05</v>
      </c>
      <c r="K322" s="10">
        <f t="shared" si="24"/>
        <v>13274.77</v>
      </c>
      <c r="L322" s="10">
        <f t="shared" si="25"/>
        <v>7685.67</v>
      </c>
      <c r="M322" s="11">
        <f t="shared" si="26"/>
        <v>0.22740687043228688</v>
      </c>
      <c r="N322" s="8" t="str">
        <f t="shared" si="27"/>
        <v>August</v>
      </c>
      <c r="O322" s="8" t="str">
        <f t="shared" si="28"/>
        <v>Q3</v>
      </c>
      <c r="P322" s="8" t="str">
        <f t="shared" si="29"/>
        <v>2025</v>
      </c>
    </row>
    <row r="323" spans="1:16" x14ac:dyDescent="0.25">
      <c r="A323" s="9" t="s">
        <v>168</v>
      </c>
      <c r="B323" s="8" t="s">
        <v>24</v>
      </c>
      <c r="C323" s="8" t="s">
        <v>17</v>
      </c>
      <c r="D323" s="8" t="s">
        <v>22</v>
      </c>
      <c r="E323" s="8" t="s">
        <v>19</v>
      </c>
      <c r="F323" s="10">
        <v>32238</v>
      </c>
      <c r="G323" s="10">
        <v>19190.490000000002</v>
      </c>
      <c r="H323" s="10">
        <v>3499.86</v>
      </c>
      <c r="I323" s="8">
        <v>320</v>
      </c>
      <c r="J323" s="11">
        <v>0.02</v>
      </c>
      <c r="K323" s="10">
        <f t="shared" ref="K323:K386" si="30">F323-G323</f>
        <v>13047.509999999998</v>
      </c>
      <c r="L323" s="10">
        <f t="shared" ref="L323:L386" si="31">F323-G323-H323</f>
        <v>9547.6499999999978</v>
      </c>
      <c r="M323" s="11">
        <f t="shared" ref="M323:M386" si="32">L323/F323</f>
        <v>0.29616136236739243</v>
      </c>
      <c r="N323" s="8" t="str">
        <f t="shared" ref="N323:N386" si="33">TEXT(A323,"MMMM")</f>
        <v>August</v>
      </c>
      <c r="O323" s="8" t="str">
        <f t="shared" ref="O323:O386" si="34">"Q"&amp;ROUNDUP(MONTH(A323)/3,0)</f>
        <v>Q3</v>
      </c>
      <c r="P323" s="8" t="str">
        <f t="shared" ref="P323:P386" si="35">TEXT(A323,"YYYY")</f>
        <v>2025</v>
      </c>
    </row>
    <row r="324" spans="1:16" x14ac:dyDescent="0.25">
      <c r="A324" s="9" t="s">
        <v>168</v>
      </c>
      <c r="B324" s="8" t="s">
        <v>16</v>
      </c>
      <c r="C324" s="8" t="s">
        <v>17</v>
      </c>
      <c r="D324" s="8" t="s">
        <v>27</v>
      </c>
      <c r="E324" s="8" t="s">
        <v>19</v>
      </c>
      <c r="F324" s="10">
        <v>8012</v>
      </c>
      <c r="G324" s="10">
        <v>3757.63</v>
      </c>
      <c r="H324" s="10">
        <v>1375.63</v>
      </c>
      <c r="I324" s="8">
        <v>16</v>
      </c>
      <c r="J324" s="11">
        <v>0.15</v>
      </c>
      <c r="K324" s="10">
        <f t="shared" si="30"/>
        <v>4254.37</v>
      </c>
      <c r="L324" s="10">
        <f t="shared" si="31"/>
        <v>2878.74</v>
      </c>
      <c r="M324" s="11">
        <f t="shared" si="32"/>
        <v>0.35930354468297548</v>
      </c>
      <c r="N324" s="8" t="str">
        <f t="shared" si="33"/>
        <v>August</v>
      </c>
      <c r="O324" s="8" t="str">
        <f t="shared" si="34"/>
        <v>Q3</v>
      </c>
      <c r="P324" s="8" t="str">
        <f t="shared" si="35"/>
        <v>2025</v>
      </c>
    </row>
    <row r="325" spans="1:16" x14ac:dyDescent="0.25">
      <c r="A325" s="9" t="s">
        <v>187</v>
      </c>
      <c r="B325" s="8" t="s">
        <v>21</v>
      </c>
      <c r="C325" s="8" t="s">
        <v>12</v>
      </c>
      <c r="D325" s="8" t="s">
        <v>13</v>
      </c>
      <c r="E325" s="8" t="s">
        <v>14</v>
      </c>
      <c r="F325" s="10">
        <v>12617</v>
      </c>
      <c r="G325" s="10">
        <v>8252.64</v>
      </c>
      <c r="H325" s="10">
        <v>2275.71</v>
      </c>
      <c r="I325" s="8">
        <v>260</v>
      </c>
      <c r="J325" s="11">
        <v>0</v>
      </c>
      <c r="K325" s="10">
        <f t="shared" si="30"/>
        <v>4364.3600000000006</v>
      </c>
      <c r="L325" s="10">
        <f t="shared" si="31"/>
        <v>2088.6500000000005</v>
      </c>
      <c r="M325" s="11">
        <f t="shared" si="32"/>
        <v>0.16554252199413494</v>
      </c>
      <c r="N325" s="8" t="str">
        <f t="shared" si="33"/>
        <v>August</v>
      </c>
      <c r="O325" s="8" t="str">
        <f t="shared" si="34"/>
        <v>Q3</v>
      </c>
      <c r="P325" s="8" t="str">
        <f t="shared" si="35"/>
        <v>2025</v>
      </c>
    </row>
    <row r="326" spans="1:16" x14ac:dyDescent="0.25">
      <c r="A326" s="9" t="s">
        <v>257</v>
      </c>
      <c r="B326" s="8" t="s">
        <v>16</v>
      </c>
      <c r="C326" s="8" t="s">
        <v>12</v>
      </c>
      <c r="D326" s="8" t="s">
        <v>22</v>
      </c>
      <c r="E326" s="8" t="s">
        <v>19</v>
      </c>
      <c r="F326" s="10">
        <v>29920</v>
      </c>
      <c r="G326" s="10">
        <v>14573.39</v>
      </c>
      <c r="H326" s="10">
        <v>3452.27</v>
      </c>
      <c r="I326" s="8">
        <v>369</v>
      </c>
      <c r="J326" s="11">
        <v>0.02</v>
      </c>
      <c r="K326" s="10">
        <f t="shared" si="30"/>
        <v>15346.61</v>
      </c>
      <c r="L326" s="10">
        <f t="shared" si="31"/>
        <v>11894.34</v>
      </c>
      <c r="M326" s="11">
        <f t="shared" si="32"/>
        <v>0.3975381016042781</v>
      </c>
      <c r="N326" s="8" t="str">
        <f t="shared" si="33"/>
        <v>August</v>
      </c>
      <c r="O326" s="8" t="str">
        <f t="shared" si="34"/>
        <v>Q3</v>
      </c>
      <c r="P326" s="8" t="str">
        <f t="shared" si="35"/>
        <v>2025</v>
      </c>
    </row>
    <row r="327" spans="1:16" x14ac:dyDescent="0.25">
      <c r="A327" s="9" t="s">
        <v>257</v>
      </c>
      <c r="B327" s="8" t="s">
        <v>11</v>
      </c>
      <c r="C327" s="8" t="s">
        <v>17</v>
      </c>
      <c r="D327" s="8" t="s">
        <v>27</v>
      </c>
      <c r="E327" s="8" t="s">
        <v>14</v>
      </c>
      <c r="F327" s="10">
        <v>42554</v>
      </c>
      <c r="G327" s="10">
        <v>24869.82</v>
      </c>
      <c r="H327" s="10">
        <v>8507.5</v>
      </c>
      <c r="I327" s="8">
        <v>238</v>
      </c>
      <c r="J327" s="11">
        <v>0.05</v>
      </c>
      <c r="K327" s="10">
        <f t="shared" si="30"/>
        <v>17684.18</v>
      </c>
      <c r="L327" s="10">
        <f t="shared" si="31"/>
        <v>9176.68</v>
      </c>
      <c r="M327" s="11">
        <f t="shared" si="32"/>
        <v>0.21564788269022889</v>
      </c>
      <c r="N327" s="8" t="str">
        <f t="shared" si="33"/>
        <v>August</v>
      </c>
      <c r="O327" s="8" t="str">
        <f t="shared" si="34"/>
        <v>Q3</v>
      </c>
      <c r="P327" s="8" t="str">
        <f t="shared" si="35"/>
        <v>2025</v>
      </c>
    </row>
    <row r="328" spans="1:16" x14ac:dyDescent="0.25">
      <c r="A328" s="9" t="s">
        <v>160</v>
      </c>
      <c r="B328" s="8" t="s">
        <v>16</v>
      </c>
      <c r="C328" s="8" t="s">
        <v>12</v>
      </c>
      <c r="D328" s="8" t="s">
        <v>18</v>
      </c>
      <c r="E328" s="8" t="s">
        <v>14</v>
      </c>
      <c r="F328" s="10">
        <v>19062</v>
      </c>
      <c r="G328" s="10">
        <v>14275.71</v>
      </c>
      <c r="H328" s="10">
        <v>2287.0700000000002</v>
      </c>
      <c r="I328" s="8">
        <v>479</v>
      </c>
      <c r="J328" s="11">
        <v>0.1</v>
      </c>
      <c r="K328" s="10">
        <f t="shared" si="30"/>
        <v>4786.2900000000009</v>
      </c>
      <c r="L328" s="10">
        <f t="shared" si="31"/>
        <v>2499.2200000000007</v>
      </c>
      <c r="M328" s="11">
        <f t="shared" si="32"/>
        <v>0.13111006190326308</v>
      </c>
      <c r="N328" s="8" t="str">
        <f t="shared" si="33"/>
        <v>August</v>
      </c>
      <c r="O328" s="8" t="str">
        <f t="shared" si="34"/>
        <v>Q3</v>
      </c>
      <c r="P328" s="8" t="str">
        <f t="shared" si="35"/>
        <v>2025</v>
      </c>
    </row>
    <row r="329" spans="1:16" x14ac:dyDescent="0.25">
      <c r="A329" s="9" t="s">
        <v>160</v>
      </c>
      <c r="B329" s="8" t="s">
        <v>11</v>
      </c>
      <c r="C329" s="8" t="s">
        <v>17</v>
      </c>
      <c r="D329" s="8" t="s">
        <v>22</v>
      </c>
      <c r="E329" s="8" t="s">
        <v>25</v>
      </c>
      <c r="F329" s="10">
        <v>22497</v>
      </c>
      <c r="G329" s="10">
        <v>16562.53</v>
      </c>
      <c r="H329" s="10">
        <v>2750.76</v>
      </c>
      <c r="I329" s="8">
        <v>380</v>
      </c>
      <c r="J329" s="11">
        <v>0.15</v>
      </c>
      <c r="K329" s="10">
        <f t="shared" si="30"/>
        <v>5934.4700000000012</v>
      </c>
      <c r="L329" s="10">
        <f t="shared" si="31"/>
        <v>3183.7100000000009</v>
      </c>
      <c r="M329" s="11">
        <f t="shared" si="32"/>
        <v>0.1415170911677113</v>
      </c>
      <c r="N329" s="8" t="str">
        <f t="shared" si="33"/>
        <v>August</v>
      </c>
      <c r="O329" s="8" t="str">
        <f t="shared" si="34"/>
        <v>Q3</v>
      </c>
      <c r="P329" s="8" t="str">
        <f t="shared" si="35"/>
        <v>2025</v>
      </c>
    </row>
    <row r="330" spans="1:16" x14ac:dyDescent="0.25">
      <c r="A330" s="9" t="s">
        <v>276</v>
      </c>
      <c r="B330" s="8" t="s">
        <v>21</v>
      </c>
      <c r="C330" s="8" t="s">
        <v>12</v>
      </c>
      <c r="D330" s="8" t="s">
        <v>18</v>
      </c>
      <c r="E330" s="8" t="s">
        <v>25</v>
      </c>
      <c r="F330" s="10">
        <v>44749</v>
      </c>
      <c r="G330" s="10">
        <v>33464.769999999997</v>
      </c>
      <c r="H330" s="10">
        <v>9013.4500000000007</v>
      </c>
      <c r="I330" s="8">
        <v>97</v>
      </c>
      <c r="J330" s="11">
        <v>0.02</v>
      </c>
      <c r="K330" s="10">
        <f t="shared" si="30"/>
        <v>11284.230000000003</v>
      </c>
      <c r="L330" s="10">
        <f t="shared" si="31"/>
        <v>2270.7800000000025</v>
      </c>
      <c r="M330" s="11">
        <f t="shared" si="32"/>
        <v>5.0744821113321022E-2</v>
      </c>
      <c r="N330" s="8" t="str">
        <f t="shared" si="33"/>
        <v>August</v>
      </c>
      <c r="O330" s="8" t="str">
        <f t="shared" si="34"/>
        <v>Q3</v>
      </c>
      <c r="P330" s="8" t="str">
        <f t="shared" si="35"/>
        <v>2025</v>
      </c>
    </row>
    <row r="331" spans="1:16" x14ac:dyDescent="0.25">
      <c r="A331" s="9" t="s">
        <v>141</v>
      </c>
      <c r="B331" s="8" t="s">
        <v>16</v>
      </c>
      <c r="C331" s="8" t="s">
        <v>12</v>
      </c>
      <c r="D331" s="8" t="s">
        <v>18</v>
      </c>
      <c r="E331" s="8" t="s">
        <v>25</v>
      </c>
      <c r="F331" s="10">
        <v>11783</v>
      </c>
      <c r="G331" s="10">
        <v>8169.04</v>
      </c>
      <c r="H331" s="10">
        <v>2323.9899999999998</v>
      </c>
      <c r="I331" s="8">
        <v>375</v>
      </c>
      <c r="J331" s="11">
        <v>0</v>
      </c>
      <c r="K331" s="10">
        <f t="shared" si="30"/>
        <v>3613.96</v>
      </c>
      <c r="L331" s="10">
        <f t="shared" si="31"/>
        <v>1289.9700000000003</v>
      </c>
      <c r="M331" s="11">
        <f t="shared" si="32"/>
        <v>0.10947721293388783</v>
      </c>
      <c r="N331" s="8" t="str">
        <f t="shared" si="33"/>
        <v>August</v>
      </c>
      <c r="O331" s="8" t="str">
        <f t="shared" si="34"/>
        <v>Q3</v>
      </c>
      <c r="P331" s="8" t="str">
        <f t="shared" si="35"/>
        <v>2025</v>
      </c>
    </row>
    <row r="332" spans="1:16" x14ac:dyDescent="0.25">
      <c r="A332" s="9" t="s">
        <v>161</v>
      </c>
      <c r="B332" s="8" t="s">
        <v>24</v>
      </c>
      <c r="C332" s="8" t="s">
        <v>12</v>
      </c>
      <c r="D332" s="8" t="s">
        <v>22</v>
      </c>
      <c r="E332" s="8" t="s">
        <v>19</v>
      </c>
      <c r="F332" s="10">
        <v>16315</v>
      </c>
      <c r="G332" s="10">
        <v>11740.33</v>
      </c>
      <c r="H332" s="10">
        <v>2321.88</v>
      </c>
      <c r="I332" s="8">
        <v>54</v>
      </c>
      <c r="J332" s="11">
        <v>0.05</v>
      </c>
      <c r="K332" s="10">
        <f t="shared" si="30"/>
        <v>4574.67</v>
      </c>
      <c r="L332" s="10">
        <f t="shared" si="31"/>
        <v>2252.79</v>
      </c>
      <c r="M332" s="11">
        <f t="shared" si="32"/>
        <v>0.13808090714066809</v>
      </c>
      <c r="N332" s="8" t="str">
        <f t="shared" si="33"/>
        <v>August</v>
      </c>
      <c r="O332" s="8" t="str">
        <f t="shared" si="34"/>
        <v>Q3</v>
      </c>
      <c r="P332" s="8" t="str">
        <f t="shared" si="35"/>
        <v>2025</v>
      </c>
    </row>
    <row r="333" spans="1:16" x14ac:dyDescent="0.25">
      <c r="A333" s="9" t="s">
        <v>161</v>
      </c>
      <c r="B333" s="8" t="s">
        <v>16</v>
      </c>
      <c r="C333" s="8" t="s">
        <v>12</v>
      </c>
      <c r="D333" s="8" t="s">
        <v>27</v>
      </c>
      <c r="E333" s="8" t="s">
        <v>14</v>
      </c>
      <c r="F333" s="10">
        <v>41434</v>
      </c>
      <c r="G333" s="10">
        <v>27944.06</v>
      </c>
      <c r="H333" s="10">
        <v>4764.0600000000004</v>
      </c>
      <c r="I333" s="8">
        <v>246</v>
      </c>
      <c r="J333" s="11">
        <v>0</v>
      </c>
      <c r="K333" s="10">
        <f t="shared" si="30"/>
        <v>13489.939999999999</v>
      </c>
      <c r="L333" s="10">
        <f t="shared" si="31"/>
        <v>8725.8799999999974</v>
      </c>
      <c r="M333" s="11">
        <f t="shared" si="32"/>
        <v>0.21059709417386682</v>
      </c>
      <c r="N333" s="8" t="str">
        <f t="shared" si="33"/>
        <v>August</v>
      </c>
      <c r="O333" s="8" t="str">
        <f t="shared" si="34"/>
        <v>Q3</v>
      </c>
      <c r="P333" s="8" t="str">
        <f t="shared" si="35"/>
        <v>2025</v>
      </c>
    </row>
    <row r="334" spans="1:16" x14ac:dyDescent="0.25">
      <c r="A334" s="9" t="s">
        <v>198</v>
      </c>
      <c r="B334" s="8" t="s">
        <v>21</v>
      </c>
      <c r="C334" s="8" t="s">
        <v>17</v>
      </c>
      <c r="D334" s="8" t="s">
        <v>27</v>
      </c>
      <c r="E334" s="8" t="s">
        <v>14</v>
      </c>
      <c r="F334" s="10">
        <v>29458</v>
      </c>
      <c r="G334" s="10">
        <v>13790.32</v>
      </c>
      <c r="H334" s="10">
        <v>4986.71</v>
      </c>
      <c r="I334" s="8">
        <v>488</v>
      </c>
      <c r="J334" s="11">
        <v>0.15</v>
      </c>
      <c r="K334" s="10">
        <f t="shared" si="30"/>
        <v>15667.68</v>
      </c>
      <c r="L334" s="10">
        <f t="shared" si="31"/>
        <v>10680.970000000001</v>
      </c>
      <c r="M334" s="11">
        <f t="shared" si="32"/>
        <v>0.36258299952474715</v>
      </c>
      <c r="N334" s="8" t="str">
        <f t="shared" si="33"/>
        <v>August</v>
      </c>
      <c r="O334" s="8" t="str">
        <f t="shared" si="34"/>
        <v>Q3</v>
      </c>
      <c r="P334" s="8" t="str">
        <f t="shared" si="35"/>
        <v>2025</v>
      </c>
    </row>
    <row r="335" spans="1:16" x14ac:dyDescent="0.25">
      <c r="A335" s="9" t="s">
        <v>51</v>
      </c>
      <c r="B335" s="8" t="s">
        <v>16</v>
      </c>
      <c r="C335" s="8" t="s">
        <v>17</v>
      </c>
      <c r="D335" s="8" t="s">
        <v>18</v>
      </c>
      <c r="E335" s="8" t="s">
        <v>19</v>
      </c>
      <c r="F335" s="10">
        <v>45708</v>
      </c>
      <c r="G335" s="10">
        <v>34259.81</v>
      </c>
      <c r="H335" s="10">
        <v>10030.780000000001</v>
      </c>
      <c r="I335" s="8">
        <v>47</v>
      </c>
      <c r="J335" s="11">
        <v>0.15</v>
      </c>
      <c r="K335" s="10">
        <f t="shared" si="30"/>
        <v>11448.190000000002</v>
      </c>
      <c r="L335" s="10">
        <f t="shared" si="31"/>
        <v>1417.4100000000017</v>
      </c>
      <c r="M335" s="11">
        <f t="shared" si="32"/>
        <v>3.101010763980051E-2</v>
      </c>
      <c r="N335" s="8" t="str">
        <f t="shared" si="33"/>
        <v>August</v>
      </c>
      <c r="O335" s="8" t="str">
        <f t="shared" si="34"/>
        <v>Q3</v>
      </c>
      <c r="P335" s="8" t="str">
        <f t="shared" si="35"/>
        <v>2025</v>
      </c>
    </row>
    <row r="336" spans="1:16" x14ac:dyDescent="0.25">
      <c r="A336" s="9" t="s">
        <v>51</v>
      </c>
      <c r="B336" s="8" t="s">
        <v>24</v>
      </c>
      <c r="C336" s="8" t="s">
        <v>17</v>
      </c>
      <c r="D336" s="8" t="s">
        <v>13</v>
      </c>
      <c r="E336" s="8" t="s">
        <v>25</v>
      </c>
      <c r="F336" s="10">
        <v>7423</v>
      </c>
      <c r="G336" s="10">
        <v>3993.82</v>
      </c>
      <c r="H336" s="10">
        <v>639.36</v>
      </c>
      <c r="I336" s="8">
        <v>112</v>
      </c>
      <c r="J336" s="11">
        <v>0</v>
      </c>
      <c r="K336" s="10">
        <f t="shared" si="30"/>
        <v>3429.18</v>
      </c>
      <c r="L336" s="10">
        <f t="shared" si="31"/>
        <v>2789.8199999999997</v>
      </c>
      <c r="M336" s="11">
        <f t="shared" si="32"/>
        <v>0.37583456823386768</v>
      </c>
      <c r="N336" s="8" t="str">
        <f t="shared" si="33"/>
        <v>August</v>
      </c>
      <c r="O336" s="8" t="str">
        <f t="shared" si="34"/>
        <v>Q3</v>
      </c>
      <c r="P336" s="8" t="str">
        <f t="shared" si="35"/>
        <v>2025</v>
      </c>
    </row>
    <row r="337" spans="1:16" x14ac:dyDescent="0.25">
      <c r="A337" s="9" t="s">
        <v>51</v>
      </c>
      <c r="B337" s="8" t="s">
        <v>11</v>
      </c>
      <c r="C337" s="8" t="s">
        <v>12</v>
      </c>
      <c r="D337" s="8" t="s">
        <v>22</v>
      </c>
      <c r="E337" s="8" t="s">
        <v>25</v>
      </c>
      <c r="F337" s="10">
        <v>42070</v>
      </c>
      <c r="G337" s="10">
        <v>28302.82</v>
      </c>
      <c r="H337" s="10">
        <v>7876.71</v>
      </c>
      <c r="I337" s="8">
        <v>291</v>
      </c>
      <c r="J337" s="11">
        <v>0.15</v>
      </c>
      <c r="K337" s="10">
        <f t="shared" si="30"/>
        <v>13767.18</v>
      </c>
      <c r="L337" s="10">
        <f t="shared" si="31"/>
        <v>5890.47</v>
      </c>
      <c r="M337" s="11">
        <f t="shared" si="32"/>
        <v>0.14001592583788924</v>
      </c>
      <c r="N337" s="8" t="str">
        <f t="shared" si="33"/>
        <v>August</v>
      </c>
      <c r="O337" s="8" t="str">
        <f t="shared" si="34"/>
        <v>Q3</v>
      </c>
      <c r="P337" s="8" t="str">
        <f t="shared" si="35"/>
        <v>2025</v>
      </c>
    </row>
    <row r="338" spans="1:16" x14ac:dyDescent="0.25">
      <c r="A338" s="9" t="s">
        <v>30</v>
      </c>
      <c r="B338" s="8" t="s">
        <v>16</v>
      </c>
      <c r="C338" s="8" t="s">
        <v>17</v>
      </c>
      <c r="D338" s="8" t="s">
        <v>27</v>
      </c>
      <c r="E338" s="8" t="s">
        <v>14</v>
      </c>
      <c r="F338" s="10">
        <v>29867</v>
      </c>
      <c r="G338" s="10">
        <v>15858.91</v>
      </c>
      <c r="H338" s="10">
        <v>6258.77</v>
      </c>
      <c r="I338" s="8">
        <v>362</v>
      </c>
      <c r="J338" s="11">
        <v>0.15</v>
      </c>
      <c r="K338" s="10">
        <f t="shared" si="30"/>
        <v>14008.09</v>
      </c>
      <c r="L338" s="10">
        <f t="shared" si="31"/>
        <v>7749.32</v>
      </c>
      <c r="M338" s="11">
        <f t="shared" si="32"/>
        <v>0.25946094351625537</v>
      </c>
      <c r="N338" s="8" t="str">
        <f t="shared" si="33"/>
        <v>August</v>
      </c>
      <c r="O338" s="8" t="str">
        <f t="shared" si="34"/>
        <v>Q3</v>
      </c>
      <c r="P338" s="8" t="str">
        <f t="shared" si="35"/>
        <v>2025</v>
      </c>
    </row>
    <row r="339" spans="1:16" x14ac:dyDescent="0.25">
      <c r="A339" s="9" t="s">
        <v>30</v>
      </c>
      <c r="B339" s="8" t="s">
        <v>11</v>
      </c>
      <c r="C339" s="8" t="s">
        <v>17</v>
      </c>
      <c r="D339" s="8" t="s">
        <v>13</v>
      </c>
      <c r="E339" s="8" t="s">
        <v>25</v>
      </c>
      <c r="F339" s="10">
        <v>34616</v>
      </c>
      <c r="G339" s="10">
        <v>15967.74</v>
      </c>
      <c r="H339" s="10">
        <v>4556.2700000000004</v>
      </c>
      <c r="I339" s="8">
        <v>156</v>
      </c>
      <c r="J339" s="11">
        <v>0</v>
      </c>
      <c r="K339" s="10">
        <f t="shared" si="30"/>
        <v>18648.260000000002</v>
      </c>
      <c r="L339" s="10">
        <f t="shared" si="31"/>
        <v>14091.990000000002</v>
      </c>
      <c r="M339" s="11">
        <f t="shared" si="32"/>
        <v>0.40709469609429172</v>
      </c>
      <c r="N339" s="8" t="str">
        <f t="shared" si="33"/>
        <v>August</v>
      </c>
      <c r="O339" s="8" t="str">
        <f t="shared" si="34"/>
        <v>Q3</v>
      </c>
      <c r="P339" s="8" t="str">
        <f t="shared" si="35"/>
        <v>2025</v>
      </c>
    </row>
    <row r="340" spans="1:16" x14ac:dyDescent="0.25">
      <c r="A340" s="9" t="s">
        <v>207</v>
      </c>
      <c r="B340" s="8" t="s">
        <v>21</v>
      </c>
      <c r="C340" s="8" t="s">
        <v>12</v>
      </c>
      <c r="D340" s="8" t="s">
        <v>22</v>
      </c>
      <c r="E340" s="8" t="s">
        <v>19</v>
      </c>
      <c r="F340" s="10">
        <v>49535</v>
      </c>
      <c r="G340" s="10">
        <v>31037.49</v>
      </c>
      <c r="H340" s="10">
        <v>7433.48</v>
      </c>
      <c r="I340" s="8">
        <v>186</v>
      </c>
      <c r="J340" s="11">
        <v>0</v>
      </c>
      <c r="K340" s="10">
        <f t="shared" si="30"/>
        <v>18497.509999999998</v>
      </c>
      <c r="L340" s="10">
        <f t="shared" si="31"/>
        <v>11064.029999999999</v>
      </c>
      <c r="M340" s="11">
        <f t="shared" si="32"/>
        <v>0.22335782779852628</v>
      </c>
      <c r="N340" s="8" t="str">
        <f t="shared" si="33"/>
        <v>August</v>
      </c>
      <c r="O340" s="8" t="str">
        <f t="shared" si="34"/>
        <v>Q3</v>
      </c>
      <c r="P340" s="8" t="str">
        <f t="shared" si="35"/>
        <v>2025</v>
      </c>
    </row>
    <row r="341" spans="1:16" x14ac:dyDescent="0.25">
      <c r="A341" s="9" t="s">
        <v>100</v>
      </c>
      <c r="B341" s="8" t="s">
        <v>24</v>
      </c>
      <c r="C341" s="8" t="s">
        <v>17</v>
      </c>
      <c r="D341" s="8" t="s">
        <v>13</v>
      </c>
      <c r="E341" s="8" t="s">
        <v>19</v>
      </c>
      <c r="F341" s="10">
        <v>27803</v>
      </c>
      <c r="G341" s="10">
        <v>15917.34</v>
      </c>
      <c r="H341" s="10">
        <v>3473.93</v>
      </c>
      <c r="I341" s="8">
        <v>63</v>
      </c>
      <c r="J341" s="11">
        <v>0.02</v>
      </c>
      <c r="K341" s="10">
        <f t="shared" si="30"/>
        <v>11885.66</v>
      </c>
      <c r="L341" s="10">
        <f t="shared" si="31"/>
        <v>8411.73</v>
      </c>
      <c r="M341" s="11">
        <f t="shared" si="32"/>
        <v>0.30254756680933709</v>
      </c>
      <c r="N341" s="8" t="str">
        <f t="shared" si="33"/>
        <v>August</v>
      </c>
      <c r="O341" s="8" t="str">
        <f t="shared" si="34"/>
        <v>Q3</v>
      </c>
      <c r="P341" s="8" t="str">
        <f t="shared" si="35"/>
        <v>2025</v>
      </c>
    </row>
    <row r="342" spans="1:16" x14ac:dyDescent="0.25">
      <c r="A342" s="9" t="s">
        <v>100</v>
      </c>
      <c r="B342" s="8" t="s">
        <v>24</v>
      </c>
      <c r="C342" s="8" t="s">
        <v>17</v>
      </c>
      <c r="D342" s="8" t="s">
        <v>13</v>
      </c>
      <c r="E342" s="8" t="s">
        <v>14</v>
      </c>
      <c r="F342" s="10">
        <v>17715</v>
      </c>
      <c r="G342" s="10">
        <v>9926.64</v>
      </c>
      <c r="H342" s="10">
        <v>3766.18</v>
      </c>
      <c r="I342" s="8">
        <v>235</v>
      </c>
      <c r="J342" s="11">
        <v>0.1</v>
      </c>
      <c r="K342" s="10">
        <f t="shared" si="30"/>
        <v>7788.3600000000006</v>
      </c>
      <c r="L342" s="10">
        <f t="shared" si="31"/>
        <v>4022.1800000000007</v>
      </c>
      <c r="M342" s="11">
        <f t="shared" si="32"/>
        <v>0.2270493931696303</v>
      </c>
      <c r="N342" s="8" t="str">
        <f t="shared" si="33"/>
        <v>August</v>
      </c>
      <c r="O342" s="8" t="str">
        <f t="shared" si="34"/>
        <v>Q3</v>
      </c>
      <c r="P342" s="8" t="str">
        <f t="shared" si="35"/>
        <v>2025</v>
      </c>
    </row>
    <row r="343" spans="1:16" x14ac:dyDescent="0.25">
      <c r="A343" s="9" t="s">
        <v>100</v>
      </c>
      <c r="B343" s="8" t="s">
        <v>16</v>
      </c>
      <c r="C343" s="8" t="s">
        <v>12</v>
      </c>
      <c r="D343" s="8" t="s">
        <v>27</v>
      </c>
      <c r="E343" s="8" t="s">
        <v>19</v>
      </c>
      <c r="F343" s="10">
        <v>25986</v>
      </c>
      <c r="G343" s="10">
        <v>18821.64</v>
      </c>
      <c r="H343" s="10">
        <v>3427.52</v>
      </c>
      <c r="I343" s="8">
        <v>221</v>
      </c>
      <c r="J343" s="11">
        <v>0</v>
      </c>
      <c r="K343" s="10">
        <f t="shared" si="30"/>
        <v>7164.3600000000006</v>
      </c>
      <c r="L343" s="10">
        <f t="shared" si="31"/>
        <v>3736.8400000000006</v>
      </c>
      <c r="M343" s="11">
        <f t="shared" si="32"/>
        <v>0.1438020472562149</v>
      </c>
      <c r="N343" s="8" t="str">
        <f t="shared" si="33"/>
        <v>August</v>
      </c>
      <c r="O343" s="8" t="str">
        <f t="shared" si="34"/>
        <v>Q3</v>
      </c>
      <c r="P343" s="8" t="str">
        <f t="shared" si="35"/>
        <v>2025</v>
      </c>
    </row>
    <row r="344" spans="1:16" x14ac:dyDescent="0.25">
      <c r="A344" s="9" t="s">
        <v>155</v>
      </c>
      <c r="B344" s="8" t="s">
        <v>11</v>
      </c>
      <c r="C344" s="8" t="s">
        <v>17</v>
      </c>
      <c r="D344" s="8" t="s">
        <v>22</v>
      </c>
      <c r="E344" s="8" t="s">
        <v>14</v>
      </c>
      <c r="F344" s="10">
        <v>21601</v>
      </c>
      <c r="G344" s="10">
        <v>9957.76</v>
      </c>
      <c r="H344" s="10">
        <v>3684.4</v>
      </c>
      <c r="I344" s="8">
        <v>156</v>
      </c>
      <c r="J344" s="11">
        <v>0.05</v>
      </c>
      <c r="K344" s="10">
        <f t="shared" si="30"/>
        <v>11643.24</v>
      </c>
      <c r="L344" s="10">
        <f t="shared" si="31"/>
        <v>7958.84</v>
      </c>
      <c r="M344" s="11">
        <f t="shared" si="32"/>
        <v>0.36844775704828481</v>
      </c>
      <c r="N344" s="8" t="str">
        <f t="shared" si="33"/>
        <v>August</v>
      </c>
      <c r="O344" s="8" t="str">
        <f t="shared" si="34"/>
        <v>Q3</v>
      </c>
      <c r="P344" s="8" t="str">
        <f t="shared" si="35"/>
        <v>2025</v>
      </c>
    </row>
    <row r="345" spans="1:16" x14ac:dyDescent="0.25">
      <c r="A345" s="9" t="s">
        <v>73</v>
      </c>
      <c r="B345" s="8" t="s">
        <v>21</v>
      </c>
      <c r="C345" s="8" t="s">
        <v>12</v>
      </c>
      <c r="D345" s="8" t="s">
        <v>22</v>
      </c>
      <c r="E345" s="8" t="s">
        <v>19</v>
      </c>
      <c r="F345" s="10">
        <v>34495</v>
      </c>
      <c r="G345" s="10">
        <v>18204.990000000002</v>
      </c>
      <c r="H345" s="10">
        <v>3953.59</v>
      </c>
      <c r="I345" s="8">
        <v>336</v>
      </c>
      <c r="J345" s="11">
        <v>0.05</v>
      </c>
      <c r="K345" s="10">
        <f t="shared" si="30"/>
        <v>16290.009999999998</v>
      </c>
      <c r="L345" s="10">
        <f t="shared" si="31"/>
        <v>12336.419999999998</v>
      </c>
      <c r="M345" s="11">
        <f t="shared" si="32"/>
        <v>0.3576292216263226</v>
      </c>
      <c r="N345" s="8" t="str">
        <f t="shared" si="33"/>
        <v>September</v>
      </c>
      <c r="O345" s="8" t="str">
        <f t="shared" si="34"/>
        <v>Q3</v>
      </c>
      <c r="P345" s="8" t="str">
        <f t="shared" si="35"/>
        <v>2025</v>
      </c>
    </row>
    <row r="346" spans="1:16" x14ac:dyDescent="0.25">
      <c r="A346" s="9" t="s">
        <v>73</v>
      </c>
      <c r="B346" s="8" t="s">
        <v>24</v>
      </c>
      <c r="C346" s="8" t="s">
        <v>17</v>
      </c>
      <c r="D346" s="8" t="s">
        <v>13</v>
      </c>
      <c r="E346" s="8" t="s">
        <v>25</v>
      </c>
      <c r="F346" s="10">
        <v>22601</v>
      </c>
      <c r="G346" s="10">
        <v>16252.59</v>
      </c>
      <c r="H346" s="10">
        <v>1872.1</v>
      </c>
      <c r="I346" s="8">
        <v>428</v>
      </c>
      <c r="J346" s="11">
        <v>0.05</v>
      </c>
      <c r="K346" s="10">
        <f t="shared" si="30"/>
        <v>6348.41</v>
      </c>
      <c r="L346" s="10">
        <f t="shared" si="31"/>
        <v>4476.3099999999995</v>
      </c>
      <c r="M346" s="11">
        <f t="shared" si="32"/>
        <v>0.19805805052873765</v>
      </c>
      <c r="N346" s="8" t="str">
        <f t="shared" si="33"/>
        <v>September</v>
      </c>
      <c r="O346" s="8" t="str">
        <f t="shared" si="34"/>
        <v>Q3</v>
      </c>
      <c r="P346" s="8" t="str">
        <f t="shared" si="35"/>
        <v>2025</v>
      </c>
    </row>
    <row r="347" spans="1:16" x14ac:dyDescent="0.25">
      <c r="A347" s="9" t="s">
        <v>73</v>
      </c>
      <c r="B347" s="8" t="s">
        <v>11</v>
      </c>
      <c r="C347" s="8" t="s">
        <v>12</v>
      </c>
      <c r="D347" s="8" t="s">
        <v>13</v>
      </c>
      <c r="E347" s="8" t="s">
        <v>25</v>
      </c>
      <c r="F347" s="10">
        <v>45288</v>
      </c>
      <c r="G347" s="10">
        <v>28528.91</v>
      </c>
      <c r="H347" s="10">
        <v>9188.27</v>
      </c>
      <c r="I347" s="8">
        <v>282</v>
      </c>
      <c r="J347" s="11">
        <v>0.15</v>
      </c>
      <c r="K347" s="10">
        <f t="shared" si="30"/>
        <v>16759.09</v>
      </c>
      <c r="L347" s="10">
        <f t="shared" si="31"/>
        <v>7570.82</v>
      </c>
      <c r="M347" s="11">
        <f t="shared" si="32"/>
        <v>0.16717055290584701</v>
      </c>
      <c r="N347" s="8" t="str">
        <f t="shared" si="33"/>
        <v>September</v>
      </c>
      <c r="O347" s="8" t="str">
        <f t="shared" si="34"/>
        <v>Q3</v>
      </c>
      <c r="P347" s="8" t="str">
        <f t="shared" si="35"/>
        <v>2025</v>
      </c>
    </row>
    <row r="348" spans="1:16" x14ac:dyDescent="0.25">
      <c r="A348" s="9" t="s">
        <v>94</v>
      </c>
      <c r="B348" s="8" t="s">
        <v>11</v>
      </c>
      <c r="C348" s="8" t="s">
        <v>12</v>
      </c>
      <c r="D348" s="8" t="s">
        <v>13</v>
      </c>
      <c r="E348" s="8" t="s">
        <v>19</v>
      </c>
      <c r="F348" s="10">
        <v>33866</v>
      </c>
      <c r="G348" s="10">
        <v>18701.2</v>
      </c>
      <c r="H348" s="10">
        <v>7286.94</v>
      </c>
      <c r="I348" s="8">
        <v>139</v>
      </c>
      <c r="J348" s="11">
        <v>0.1</v>
      </c>
      <c r="K348" s="10">
        <f t="shared" si="30"/>
        <v>15164.8</v>
      </c>
      <c r="L348" s="10">
        <f t="shared" si="31"/>
        <v>7877.86</v>
      </c>
      <c r="M348" s="11">
        <f t="shared" si="32"/>
        <v>0.23261855548337565</v>
      </c>
      <c r="N348" s="8" t="str">
        <f t="shared" si="33"/>
        <v>September</v>
      </c>
      <c r="O348" s="8" t="str">
        <f t="shared" si="34"/>
        <v>Q3</v>
      </c>
      <c r="P348" s="8" t="str">
        <f t="shared" si="35"/>
        <v>2025</v>
      </c>
    </row>
    <row r="349" spans="1:16" x14ac:dyDescent="0.25">
      <c r="A349" s="9" t="s">
        <v>94</v>
      </c>
      <c r="B349" s="8" t="s">
        <v>11</v>
      </c>
      <c r="C349" s="8" t="s">
        <v>12</v>
      </c>
      <c r="D349" s="8" t="s">
        <v>22</v>
      </c>
      <c r="E349" s="8" t="s">
        <v>25</v>
      </c>
      <c r="F349" s="10">
        <v>31320</v>
      </c>
      <c r="G349" s="10">
        <v>18099.27</v>
      </c>
      <c r="H349" s="10">
        <v>2978.99</v>
      </c>
      <c r="I349" s="8">
        <v>374</v>
      </c>
      <c r="J349" s="11">
        <v>0.1</v>
      </c>
      <c r="K349" s="10">
        <f t="shared" si="30"/>
        <v>13220.73</v>
      </c>
      <c r="L349" s="10">
        <f t="shared" si="31"/>
        <v>10241.74</v>
      </c>
      <c r="M349" s="11">
        <f t="shared" si="32"/>
        <v>0.32700319284802043</v>
      </c>
      <c r="N349" s="8" t="str">
        <f t="shared" si="33"/>
        <v>September</v>
      </c>
      <c r="O349" s="8" t="str">
        <f t="shared" si="34"/>
        <v>Q3</v>
      </c>
      <c r="P349" s="8" t="str">
        <f t="shared" si="35"/>
        <v>2025</v>
      </c>
    </row>
    <row r="350" spans="1:16" x14ac:dyDescent="0.25">
      <c r="A350" s="9" t="s">
        <v>105</v>
      </c>
      <c r="B350" s="8" t="s">
        <v>24</v>
      </c>
      <c r="C350" s="8" t="s">
        <v>12</v>
      </c>
      <c r="D350" s="8" t="s">
        <v>18</v>
      </c>
      <c r="E350" s="8" t="s">
        <v>25</v>
      </c>
      <c r="F350" s="10">
        <v>27618</v>
      </c>
      <c r="G350" s="10">
        <v>15182.5</v>
      </c>
      <c r="H350" s="10">
        <v>5159.1000000000004</v>
      </c>
      <c r="I350" s="8">
        <v>203</v>
      </c>
      <c r="J350" s="11">
        <v>0.1</v>
      </c>
      <c r="K350" s="10">
        <f t="shared" si="30"/>
        <v>12435.5</v>
      </c>
      <c r="L350" s="10">
        <f t="shared" si="31"/>
        <v>7276.4</v>
      </c>
      <c r="M350" s="11">
        <f t="shared" si="32"/>
        <v>0.26346585560141933</v>
      </c>
      <c r="N350" s="8" t="str">
        <f t="shared" si="33"/>
        <v>September</v>
      </c>
      <c r="O350" s="8" t="str">
        <f t="shared" si="34"/>
        <v>Q3</v>
      </c>
      <c r="P350" s="8" t="str">
        <f t="shared" si="35"/>
        <v>2025</v>
      </c>
    </row>
    <row r="351" spans="1:16" x14ac:dyDescent="0.25">
      <c r="A351" s="9" t="s">
        <v>105</v>
      </c>
      <c r="B351" s="8" t="s">
        <v>24</v>
      </c>
      <c r="C351" s="8" t="s">
        <v>12</v>
      </c>
      <c r="D351" s="8" t="s">
        <v>22</v>
      </c>
      <c r="E351" s="8" t="s">
        <v>14</v>
      </c>
      <c r="F351" s="10">
        <v>27826</v>
      </c>
      <c r="G351" s="10">
        <v>16496.61</v>
      </c>
      <c r="H351" s="10">
        <v>3933.02</v>
      </c>
      <c r="I351" s="8">
        <v>366</v>
      </c>
      <c r="J351" s="11">
        <v>0.1</v>
      </c>
      <c r="K351" s="10">
        <f t="shared" si="30"/>
        <v>11329.39</v>
      </c>
      <c r="L351" s="10">
        <f t="shared" si="31"/>
        <v>7396.369999999999</v>
      </c>
      <c r="M351" s="11">
        <f t="shared" si="32"/>
        <v>0.26580787752461721</v>
      </c>
      <c r="N351" s="8" t="str">
        <f t="shared" si="33"/>
        <v>September</v>
      </c>
      <c r="O351" s="8" t="str">
        <f t="shared" si="34"/>
        <v>Q3</v>
      </c>
      <c r="P351" s="8" t="str">
        <f t="shared" si="35"/>
        <v>2025</v>
      </c>
    </row>
    <row r="352" spans="1:16" x14ac:dyDescent="0.25">
      <c r="A352" s="9" t="s">
        <v>105</v>
      </c>
      <c r="B352" s="8" t="s">
        <v>11</v>
      </c>
      <c r="C352" s="8" t="s">
        <v>17</v>
      </c>
      <c r="D352" s="8" t="s">
        <v>27</v>
      </c>
      <c r="E352" s="8" t="s">
        <v>19</v>
      </c>
      <c r="F352" s="10">
        <v>20943</v>
      </c>
      <c r="G352" s="10">
        <v>14183.48</v>
      </c>
      <c r="H352" s="10">
        <v>4493.8100000000004</v>
      </c>
      <c r="I352" s="8">
        <v>244</v>
      </c>
      <c r="J352" s="11">
        <v>0.1</v>
      </c>
      <c r="K352" s="10">
        <f t="shared" si="30"/>
        <v>6759.52</v>
      </c>
      <c r="L352" s="10">
        <f t="shared" si="31"/>
        <v>2265.71</v>
      </c>
      <c r="M352" s="11">
        <f t="shared" si="32"/>
        <v>0.10818459628515495</v>
      </c>
      <c r="N352" s="8" t="str">
        <f t="shared" si="33"/>
        <v>September</v>
      </c>
      <c r="O352" s="8" t="str">
        <f t="shared" si="34"/>
        <v>Q3</v>
      </c>
      <c r="P352" s="8" t="str">
        <f t="shared" si="35"/>
        <v>2025</v>
      </c>
    </row>
    <row r="353" spans="1:16" x14ac:dyDescent="0.25">
      <c r="A353" s="9" t="s">
        <v>38</v>
      </c>
      <c r="B353" s="8" t="s">
        <v>21</v>
      </c>
      <c r="C353" s="8" t="s">
        <v>12</v>
      </c>
      <c r="D353" s="8" t="s">
        <v>22</v>
      </c>
      <c r="E353" s="8" t="s">
        <v>25</v>
      </c>
      <c r="F353" s="10">
        <v>9535</v>
      </c>
      <c r="G353" s="10">
        <v>7088.27</v>
      </c>
      <c r="H353" s="10">
        <v>1473.91</v>
      </c>
      <c r="I353" s="8">
        <v>74</v>
      </c>
      <c r="J353" s="11">
        <v>0.02</v>
      </c>
      <c r="K353" s="10">
        <f t="shared" si="30"/>
        <v>2446.7299999999996</v>
      </c>
      <c r="L353" s="10">
        <f t="shared" si="31"/>
        <v>972.81999999999948</v>
      </c>
      <c r="M353" s="11">
        <f t="shared" si="32"/>
        <v>0.10202621919244882</v>
      </c>
      <c r="N353" s="8" t="str">
        <f t="shared" si="33"/>
        <v>September</v>
      </c>
      <c r="O353" s="8" t="str">
        <f t="shared" si="34"/>
        <v>Q3</v>
      </c>
      <c r="P353" s="8" t="str">
        <f t="shared" si="35"/>
        <v>2025</v>
      </c>
    </row>
    <row r="354" spans="1:16" x14ac:dyDescent="0.25">
      <c r="A354" s="9" t="s">
        <v>38</v>
      </c>
      <c r="B354" s="8" t="s">
        <v>21</v>
      </c>
      <c r="C354" s="8" t="s">
        <v>12</v>
      </c>
      <c r="D354" s="8" t="s">
        <v>13</v>
      </c>
      <c r="E354" s="8" t="s">
        <v>19</v>
      </c>
      <c r="F354" s="10">
        <v>19040</v>
      </c>
      <c r="G354" s="10">
        <v>11648.1</v>
      </c>
      <c r="H354" s="10">
        <v>3451.37</v>
      </c>
      <c r="I354" s="8">
        <v>461</v>
      </c>
      <c r="J354" s="11">
        <v>0.15</v>
      </c>
      <c r="K354" s="10">
        <f t="shared" si="30"/>
        <v>7391.9</v>
      </c>
      <c r="L354" s="10">
        <f t="shared" si="31"/>
        <v>3940.5299999999997</v>
      </c>
      <c r="M354" s="11">
        <f t="shared" si="32"/>
        <v>0.20696060924369747</v>
      </c>
      <c r="N354" s="8" t="str">
        <f t="shared" si="33"/>
        <v>September</v>
      </c>
      <c r="O354" s="8" t="str">
        <f t="shared" si="34"/>
        <v>Q3</v>
      </c>
      <c r="P354" s="8" t="str">
        <f t="shared" si="35"/>
        <v>2025</v>
      </c>
    </row>
    <row r="355" spans="1:16" x14ac:dyDescent="0.25">
      <c r="A355" s="9" t="s">
        <v>226</v>
      </c>
      <c r="B355" s="8" t="s">
        <v>16</v>
      </c>
      <c r="C355" s="8" t="s">
        <v>12</v>
      </c>
      <c r="D355" s="8" t="s">
        <v>13</v>
      </c>
      <c r="E355" s="8" t="s">
        <v>14</v>
      </c>
      <c r="F355" s="10">
        <v>17807</v>
      </c>
      <c r="G355" s="10">
        <v>11926.04</v>
      </c>
      <c r="H355" s="10">
        <v>2787.12</v>
      </c>
      <c r="I355" s="8">
        <v>417</v>
      </c>
      <c r="J355" s="11">
        <v>0.02</v>
      </c>
      <c r="K355" s="10">
        <f t="shared" si="30"/>
        <v>5880.9599999999991</v>
      </c>
      <c r="L355" s="10">
        <f t="shared" si="31"/>
        <v>3093.8399999999992</v>
      </c>
      <c r="M355" s="11">
        <f t="shared" si="32"/>
        <v>0.173742910091537</v>
      </c>
      <c r="N355" s="8" t="str">
        <f t="shared" si="33"/>
        <v>September</v>
      </c>
      <c r="O355" s="8" t="str">
        <f t="shared" si="34"/>
        <v>Q3</v>
      </c>
      <c r="P355" s="8" t="str">
        <f t="shared" si="35"/>
        <v>2025</v>
      </c>
    </row>
    <row r="356" spans="1:16" x14ac:dyDescent="0.25">
      <c r="A356" s="9" t="s">
        <v>226</v>
      </c>
      <c r="B356" s="8" t="s">
        <v>24</v>
      </c>
      <c r="C356" s="8" t="s">
        <v>12</v>
      </c>
      <c r="D356" s="8" t="s">
        <v>18</v>
      </c>
      <c r="E356" s="8" t="s">
        <v>14</v>
      </c>
      <c r="F356" s="10">
        <v>14204</v>
      </c>
      <c r="G356" s="10">
        <v>9893.82</v>
      </c>
      <c r="H356" s="10">
        <v>2612.85</v>
      </c>
      <c r="I356" s="8">
        <v>219</v>
      </c>
      <c r="J356" s="11">
        <v>0</v>
      </c>
      <c r="K356" s="10">
        <f t="shared" si="30"/>
        <v>4310.18</v>
      </c>
      <c r="L356" s="10">
        <f t="shared" si="31"/>
        <v>1697.3300000000004</v>
      </c>
      <c r="M356" s="11">
        <f t="shared" si="32"/>
        <v>0.11949662067023377</v>
      </c>
      <c r="N356" s="8" t="str">
        <f t="shared" si="33"/>
        <v>September</v>
      </c>
      <c r="O356" s="8" t="str">
        <f t="shared" si="34"/>
        <v>Q3</v>
      </c>
      <c r="P356" s="8" t="str">
        <f t="shared" si="35"/>
        <v>2025</v>
      </c>
    </row>
    <row r="357" spans="1:16" x14ac:dyDescent="0.25">
      <c r="A357" s="9" t="s">
        <v>173</v>
      </c>
      <c r="B357" s="8" t="s">
        <v>11</v>
      </c>
      <c r="C357" s="8" t="s">
        <v>12</v>
      </c>
      <c r="D357" s="8" t="s">
        <v>13</v>
      </c>
      <c r="E357" s="8" t="s">
        <v>14</v>
      </c>
      <c r="F357" s="10">
        <v>44158</v>
      </c>
      <c r="G357" s="10">
        <v>31559.8</v>
      </c>
      <c r="H357" s="10">
        <v>7577.35</v>
      </c>
      <c r="I357" s="8">
        <v>250</v>
      </c>
      <c r="J357" s="11">
        <v>0.05</v>
      </c>
      <c r="K357" s="10">
        <f t="shared" si="30"/>
        <v>12598.2</v>
      </c>
      <c r="L357" s="10">
        <f t="shared" si="31"/>
        <v>5020.8500000000004</v>
      </c>
      <c r="M357" s="11">
        <f t="shared" si="32"/>
        <v>0.11370193396440056</v>
      </c>
      <c r="N357" s="8" t="str">
        <f t="shared" si="33"/>
        <v>September</v>
      </c>
      <c r="O357" s="8" t="str">
        <f t="shared" si="34"/>
        <v>Q3</v>
      </c>
      <c r="P357" s="8" t="str">
        <f t="shared" si="35"/>
        <v>2025</v>
      </c>
    </row>
    <row r="358" spans="1:16" x14ac:dyDescent="0.25">
      <c r="A358" s="9" t="s">
        <v>173</v>
      </c>
      <c r="B358" s="8" t="s">
        <v>24</v>
      </c>
      <c r="C358" s="8" t="s">
        <v>12</v>
      </c>
      <c r="D358" s="8" t="s">
        <v>27</v>
      </c>
      <c r="E358" s="8" t="s">
        <v>25</v>
      </c>
      <c r="F358" s="10">
        <v>33768</v>
      </c>
      <c r="G358" s="10">
        <v>15304.1</v>
      </c>
      <c r="H358" s="10">
        <v>6722.52</v>
      </c>
      <c r="I358" s="8">
        <v>486</v>
      </c>
      <c r="J358" s="11">
        <v>0.15</v>
      </c>
      <c r="K358" s="10">
        <f t="shared" si="30"/>
        <v>18463.900000000001</v>
      </c>
      <c r="L358" s="10">
        <f t="shared" si="31"/>
        <v>11741.380000000001</v>
      </c>
      <c r="M358" s="11">
        <f t="shared" si="32"/>
        <v>0.34770729684908791</v>
      </c>
      <c r="N358" s="8" t="str">
        <f t="shared" si="33"/>
        <v>September</v>
      </c>
      <c r="O358" s="8" t="str">
        <f t="shared" si="34"/>
        <v>Q3</v>
      </c>
      <c r="P358" s="8" t="str">
        <f t="shared" si="35"/>
        <v>2025</v>
      </c>
    </row>
    <row r="359" spans="1:16" x14ac:dyDescent="0.25">
      <c r="A359" s="9" t="s">
        <v>157</v>
      </c>
      <c r="B359" s="8" t="s">
        <v>21</v>
      </c>
      <c r="C359" s="8" t="s">
        <v>12</v>
      </c>
      <c r="D359" s="8" t="s">
        <v>13</v>
      </c>
      <c r="E359" s="8" t="s">
        <v>25</v>
      </c>
      <c r="F359" s="10">
        <v>29074</v>
      </c>
      <c r="G359" s="10">
        <v>21145.32</v>
      </c>
      <c r="H359" s="10">
        <v>4439.5600000000004</v>
      </c>
      <c r="I359" s="8">
        <v>420</v>
      </c>
      <c r="J359" s="11">
        <v>0</v>
      </c>
      <c r="K359" s="10">
        <f t="shared" si="30"/>
        <v>7928.68</v>
      </c>
      <c r="L359" s="10">
        <f t="shared" si="31"/>
        <v>3489.12</v>
      </c>
      <c r="M359" s="11">
        <f t="shared" si="32"/>
        <v>0.1200082547981014</v>
      </c>
      <c r="N359" s="8" t="str">
        <f t="shared" si="33"/>
        <v>September</v>
      </c>
      <c r="O359" s="8" t="str">
        <f t="shared" si="34"/>
        <v>Q3</v>
      </c>
      <c r="P359" s="8" t="str">
        <f t="shared" si="35"/>
        <v>2025</v>
      </c>
    </row>
    <row r="360" spans="1:16" x14ac:dyDescent="0.25">
      <c r="A360" s="9" t="s">
        <v>268</v>
      </c>
      <c r="B360" s="8" t="s">
        <v>24</v>
      </c>
      <c r="C360" s="8" t="s">
        <v>17</v>
      </c>
      <c r="D360" s="8" t="s">
        <v>13</v>
      </c>
      <c r="E360" s="8" t="s">
        <v>19</v>
      </c>
      <c r="F360" s="10">
        <v>11955</v>
      </c>
      <c r="G360" s="10">
        <v>6419.25</v>
      </c>
      <c r="H360" s="10">
        <v>2104.36</v>
      </c>
      <c r="I360" s="8">
        <v>320</v>
      </c>
      <c r="J360" s="11">
        <v>0</v>
      </c>
      <c r="K360" s="10">
        <f t="shared" si="30"/>
        <v>5535.75</v>
      </c>
      <c r="L360" s="10">
        <f t="shared" si="31"/>
        <v>3431.39</v>
      </c>
      <c r="M360" s="11">
        <f t="shared" si="32"/>
        <v>0.28702551233793389</v>
      </c>
      <c r="N360" s="8" t="str">
        <f t="shared" si="33"/>
        <v>September</v>
      </c>
      <c r="O360" s="8" t="str">
        <f t="shared" si="34"/>
        <v>Q3</v>
      </c>
      <c r="P360" s="8" t="str">
        <f t="shared" si="35"/>
        <v>2025</v>
      </c>
    </row>
    <row r="361" spans="1:16" x14ac:dyDescent="0.25">
      <c r="A361" s="9" t="s">
        <v>129</v>
      </c>
      <c r="B361" s="8" t="s">
        <v>16</v>
      </c>
      <c r="C361" s="8" t="s">
        <v>17</v>
      </c>
      <c r="D361" s="8" t="s">
        <v>13</v>
      </c>
      <c r="E361" s="8" t="s">
        <v>14</v>
      </c>
      <c r="F361" s="10">
        <v>44677</v>
      </c>
      <c r="G361" s="10">
        <v>25870.65</v>
      </c>
      <c r="H361" s="10">
        <v>8534.7999999999993</v>
      </c>
      <c r="I361" s="8">
        <v>68</v>
      </c>
      <c r="J361" s="11">
        <v>0.15</v>
      </c>
      <c r="K361" s="10">
        <f t="shared" si="30"/>
        <v>18806.349999999999</v>
      </c>
      <c r="L361" s="10">
        <f t="shared" si="31"/>
        <v>10271.549999999999</v>
      </c>
      <c r="M361" s="11">
        <f t="shared" si="32"/>
        <v>0.22990688721265976</v>
      </c>
      <c r="N361" s="8" t="str">
        <f t="shared" si="33"/>
        <v>September</v>
      </c>
      <c r="O361" s="8" t="str">
        <f t="shared" si="34"/>
        <v>Q3</v>
      </c>
      <c r="P361" s="8" t="str">
        <f t="shared" si="35"/>
        <v>2025</v>
      </c>
    </row>
    <row r="362" spans="1:16" x14ac:dyDescent="0.25">
      <c r="A362" s="9" t="s">
        <v>36</v>
      </c>
      <c r="B362" s="8" t="s">
        <v>11</v>
      </c>
      <c r="C362" s="8" t="s">
        <v>17</v>
      </c>
      <c r="D362" s="8" t="s">
        <v>13</v>
      </c>
      <c r="E362" s="8" t="s">
        <v>14</v>
      </c>
      <c r="F362" s="10">
        <v>44909</v>
      </c>
      <c r="G362" s="10">
        <v>22888.92</v>
      </c>
      <c r="H362" s="10">
        <v>5943.61</v>
      </c>
      <c r="I362" s="8">
        <v>92</v>
      </c>
      <c r="J362" s="11">
        <v>0.15</v>
      </c>
      <c r="K362" s="10">
        <f t="shared" si="30"/>
        <v>22020.080000000002</v>
      </c>
      <c r="L362" s="10">
        <f t="shared" si="31"/>
        <v>16076.470000000001</v>
      </c>
      <c r="M362" s="11">
        <f t="shared" si="32"/>
        <v>0.35797880157652145</v>
      </c>
      <c r="N362" s="8" t="str">
        <f t="shared" si="33"/>
        <v>September</v>
      </c>
      <c r="O362" s="8" t="str">
        <f t="shared" si="34"/>
        <v>Q3</v>
      </c>
      <c r="P362" s="8" t="str">
        <f t="shared" si="35"/>
        <v>2025</v>
      </c>
    </row>
    <row r="363" spans="1:16" x14ac:dyDescent="0.25">
      <c r="A363" s="9" t="s">
        <v>36</v>
      </c>
      <c r="B363" s="8" t="s">
        <v>24</v>
      </c>
      <c r="C363" s="8" t="s">
        <v>17</v>
      </c>
      <c r="D363" s="8" t="s">
        <v>27</v>
      </c>
      <c r="E363" s="8" t="s">
        <v>19</v>
      </c>
      <c r="F363" s="10">
        <v>18942</v>
      </c>
      <c r="G363" s="10">
        <v>9403.17</v>
      </c>
      <c r="H363" s="10">
        <v>2794.07</v>
      </c>
      <c r="I363" s="8">
        <v>443</v>
      </c>
      <c r="J363" s="11">
        <v>0</v>
      </c>
      <c r="K363" s="10">
        <f t="shared" si="30"/>
        <v>9538.83</v>
      </c>
      <c r="L363" s="10">
        <f t="shared" si="31"/>
        <v>6744.76</v>
      </c>
      <c r="M363" s="11">
        <f t="shared" si="32"/>
        <v>0.35607433217189316</v>
      </c>
      <c r="N363" s="8" t="str">
        <f t="shared" si="33"/>
        <v>September</v>
      </c>
      <c r="O363" s="8" t="str">
        <f t="shared" si="34"/>
        <v>Q3</v>
      </c>
      <c r="P363" s="8" t="str">
        <f t="shared" si="35"/>
        <v>2025</v>
      </c>
    </row>
    <row r="364" spans="1:16" x14ac:dyDescent="0.25">
      <c r="A364" s="9" t="s">
        <v>36</v>
      </c>
      <c r="B364" s="8" t="s">
        <v>11</v>
      </c>
      <c r="C364" s="8" t="s">
        <v>12</v>
      </c>
      <c r="D364" s="8" t="s">
        <v>18</v>
      </c>
      <c r="E364" s="8" t="s">
        <v>25</v>
      </c>
      <c r="F364" s="10">
        <v>32413</v>
      </c>
      <c r="G364" s="10">
        <v>19872.2</v>
      </c>
      <c r="H364" s="10">
        <v>6181.19</v>
      </c>
      <c r="I364" s="8">
        <v>194</v>
      </c>
      <c r="J364" s="11">
        <v>0.15</v>
      </c>
      <c r="K364" s="10">
        <f t="shared" si="30"/>
        <v>12540.8</v>
      </c>
      <c r="L364" s="10">
        <f t="shared" si="31"/>
        <v>6359.61</v>
      </c>
      <c r="M364" s="11">
        <f t="shared" si="32"/>
        <v>0.19620553481627742</v>
      </c>
      <c r="N364" s="8" t="str">
        <f t="shared" si="33"/>
        <v>September</v>
      </c>
      <c r="O364" s="8" t="str">
        <f t="shared" si="34"/>
        <v>Q3</v>
      </c>
      <c r="P364" s="8" t="str">
        <f t="shared" si="35"/>
        <v>2025</v>
      </c>
    </row>
    <row r="365" spans="1:16" x14ac:dyDescent="0.25">
      <c r="A365" s="9" t="s">
        <v>278</v>
      </c>
      <c r="B365" s="8" t="s">
        <v>24</v>
      </c>
      <c r="C365" s="8" t="s">
        <v>12</v>
      </c>
      <c r="D365" s="8" t="s">
        <v>27</v>
      </c>
      <c r="E365" s="8" t="s">
        <v>14</v>
      </c>
      <c r="F365" s="10">
        <v>38804</v>
      </c>
      <c r="G365" s="10">
        <v>25592.59</v>
      </c>
      <c r="H365" s="10">
        <v>6446.38</v>
      </c>
      <c r="I365" s="8">
        <v>355</v>
      </c>
      <c r="J365" s="11">
        <v>0</v>
      </c>
      <c r="K365" s="10">
        <f t="shared" si="30"/>
        <v>13211.41</v>
      </c>
      <c r="L365" s="10">
        <f t="shared" si="31"/>
        <v>6765.03</v>
      </c>
      <c r="M365" s="11">
        <f t="shared" si="32"/>
        <v>0.17433847026079785</v>
      </c>
      <c r="N365" s="8" t="str">
        <f t="shared" si="33"/>
        <v>September</v>
      </c>
      <c r="O365" s="8" t="str">
        <f t="shared" si="34"/>
        <v>Q3</v>
      </c>
      <c r="P365" s="8" t="str">
        <f t="shared" si="35"/>
        <v>2025</v>
      </c>
    </row>
    <row r="366" spans="1:16" x14ac:dyDescent="0.25">
      <c r="A366" s="9" t="s">
        <v>188</v>
      </c>
      <c r="B366" s="8" t="s">
        <v>11</v>
      </c>
      <c r="C366" s="8" t="s">
        <v>17</v>
      </c>
      <c r="D366" s="8" t="s">
        <v>22</v>
      </c>
      <c r="E366" s="8" t="s">
        <v>14</v>
      </c>
      <c r="F366" s="10">
        <v>32225</v>
      </c>
      <c r="G366" s="10">
        <v>18917.349999999999</v>
      </c>
      <c r="H366" s="10">
        <v>2838.48</v>
      </c>
      <c r="I366" s="8">
        <v>246</v>
      </c>
      <c r="J366" s="11">
        <v>0.05</v>
      </c>
      <c r="K366" s="10">
        <f t="shared" si="30"/>
        <v>13307.650000000001</v>
      </c>
      <c r="L366" s="10">
        <f t="shared" si="31"/>
        <v>10469.170000000002</v>
      </c>
      <c r="M366" s="11">
        <f t="shared" si="32"/>
        <v>0.32487726920093102</v>
      </c>
      <c r="N366" s="8" t="str">
        <f t="shared" si="33"/>
        <v>September</v>
      </c>
      <c r="O366" s="8" t="str">
        <f t="shared" si="34"/>
        <v>Q3</v>
      </c>
      <c r="P366" s="8" t="str">
        <f t="shared" si="35"/>
        <v>2025</v>
      </c>
    </row>
    <row r="367" spans="1:16" x14ac:dyDescent="0.25">
      <c r="A367" s="9" t="s">
        <v>153</v>
      </c>
      <c r="B367" s="8" t="s">
        <v>24</v>
      </c>
      <c r="C367" s="8" t="s">
        <v>12</v>
      </c>
      <c r="D367" s="8" t="s">
        <v>13</v>
      </c>
      <c r="E367" s="8" t="s">
        <v>14</v>
      </c>
      <c r="F367" s="10">
        <v>42686</v>
      </c>
      <c r="G367" s="10">
        <v>22306.91</v>
      </c>
      <c r="H367" s="10">
        <v>4272.8999999999996</v>
      </c>
      <c r="I367" s="8">
        <v>229</v>
      </c>
      <c r="J367" s="11">
        <v>0</v>
      </c>
      <c r="K367" s="10">
        <f t="shared" si="30"/>
        <v>20379.09</v>
      </c>
      <c r="L367" s="10">
        <f t="shared" si="31"/>
        <v>16106.19</v>
      </c>
      <c r="M367" s="11">
        <f t="shared" si="32"/>
        <v>0.37731785597151291</v>
      </c>
      <c r="N367" s="8" t="str">
        <f t="shared" si="33"/>
        <v>September</v>
      </c>
      <c r="O367" s="8" t="str">
        <f t="shared" si="34"/>
        <v>Q3</v>
      </c>
      <c r="P367" s="8" t="str">
        <f t="shared" si="35"/>
        <v>2025</v>
      </c>
    </row>
    <row r="368" spans="1:16" x14ac:dyDescent="0.25">
      <c r="A368" s="9" t="s">
        <v>40</v>
      </c>
      <c r="B368" s="8" t="s">
        <v>16</v>
      </c>
      <c r="C368" s="8" t="s">
        <v>12</v>
      </c>
      <c r="D368" s="8" t="s">
        <v>27</v>
      </c>
      <c r="E368" s="8" t="s">
        <v>14</v>
      </c>
      <c r="F368" s="10">
        <v>34588</v>
      </c>
      <c r="G368" s="10">
        <v>16820.189999999999</v>
      </c>
      <c r="H368" s="10">
        <v>3855.1</v>
      </c>
      <c r="I368" s="8">
        <v>183</v>
      </c>
      <c r="J368" s="11">
        <v>0</v>
      </c>
      <c r="K368" s="10">
        <f t="shared" si="30"/>
        <v>17767.810000000001</v>
      </c>
      <c r="L368" s="10">
        <f t="shared" si="31"/>
        <v>13912.710000000001</v>
      </c>
      <c r="M368" s="11">
        <f t="shared" si="32"/>
        <v>0.40224095061871173</v>
      </c>
      <c r="N368" s="8" t="str">
        <f t="shared" si="33"/>
        <v>September</v>
      </c>
      <c r="O368" s="8" t="str">
        <f t="shared" si="34"/>
        <v>Q3</v>
      </c>
      <c r="P368" s="8" t="str">
        <f t="shared" si="35"/>
        <v>2025</v>
      </c>
    </row>
    <row r="369" spans="1:16" x14ac:dyDescent="0.25">
      <c r="A369" s="9" t="s">
        <v>72</v>
      </c>
      <c r="B369" s="8" t="s">
        <v>21</v>
      </c>
      <c r="C369" s="8" t="s">
        <v>12</v>
      </c>
      <c r="D369" s="8" t="s">
        <v>13</v>
      </c>
      <c r="E369" s="8" t="s">
        <v>25</v>
      </c>
      <c r="F369" s="10">
        <v>35444</v>
      </c>
      <c r="G369" s="10">
        <v>16483.78</v>
      </c>
      <c r="H369" s="10">
        <v>4072.08</v>
      </c>
      <c r="I369" s="8">
        <v>444</v>
      </c>
      <c r="J369" s="11">
        <v>0</v>
      </c>
      <c r="K369" s="10">
        <f t="shared" si="30"/>
        <v>18960.22</v>
      </c>
      <c r="L369" s="10">
        <f t="shared" si="31"/>
        <v>14888.140000000001</v>
      </c>
      <c r="M369" s="11">
        <f t="shared" si="32"/>
        <v>0.42004683444306518</v>
      </c>
      <c r="N369" s="8" t="str">
        <f t="shared" si="33"/>
        <v>September</v>
      </c>
      <c r="O369" s="8" t="str">
        <f t="shared" si="34"/>
        <v>Q3</v>
      </c>
      <c r="P369" s="8" t="str">
        <f t="shared" si="35"/>
        <v>2025</v>
      </c>
    </row>
    <row r="370" spans="1:16" x14ac:dyDescent="0.25">
      <c r="A370" s="9" t="s">
        <v>72</v>
      </c>
      <c r="B370" s="8" t="s">
        <v>16</v>
      </c>
      <c r="C370" s="8" t="s">
        <v>17</v>
      </c>
      <c r="D370" s="8" t="s">
        <v>18</v>
      </c>
      <c r="E370" s="8" t="s">
        <v>19</v>
      </c>
      <c r="F370" s="10">
        <v>28709</v>
      </c>
      <c r="G370" s="10">
        <v>18281.61</v>
      </c>
      <c r="H370" s="10">
        <v>4300.29</v>
      </c>
      <c r="I370" s="8">
        <v>236</v>
      </c>
      <c r="J370" s="11">
        <v>0</v>
      </c>
      <c r="K370" s="10">
        <f t="shared" si="30"/>
        <v>10427.39</v>
      </c>
      <c r="L370" s="10">
        <f t="shared" si="31"/>
        <v>6127.0999999999995</v>
      </c>
      <c r="M370" s="11">
        <f t="shared" si="32"/>
        <v>0.21342087847016614</v>
      </c>
      <c r="N370" s="8" t="str">
        <f t="shared" si="33"/>
        <v>September</v>
      </c>
      <c r="O370" s="8" t="str">
        <f t="shared" si="34"/>
        <v>Q3</v>
      </c>
      <c r="P370" s="8" t="str">
        <f t="shared" si="35"/>
        <v>2025</v>
      </c>
    </row>
    <row r="371" spans="1:16" x14ac:dyDescent="0.25">
      <c r="A371" s="9" t="s">
        <v>244</v>
      </c>
      <c r="B371" s="8" t="s">
        <v>21</v>
      </c>
      <c r="C371" s="8" t="s">
        <v>12</v>
      </c>
      <c r="D371" s="8" t="s">
        <v>13</v>
      </c>
      <c r="E371" s="8" t="s">
        <v>14</v>
      </c>
      <c r="F371" s="10">
        <v>35025</v>
      </c>
      <c r="G371" s="10">
        <v>25398.33</v>
      </c>
      <c r="H371" s="10">
        <v>2862.63</v>
      </c>
      <c r="I371" s="8">
        <v>368</v>
      </c>
      <c r="J371" s="11">
        <v>0.15</v>
      </c>
      <c r="K371" s="10">
        <f t="shared" si="30"/>
        <v>9626.6699999999983</v>
      </c>
      <c r="L371" s="10">
        <f t="shared" si="31"/>
        <v>6764.0399999999981</v>
      </c>
      <c r="M371" s="11">
        <f t="shared" si="32"/>
        <v>0.19312034261241964</v>
      </c>
      <c r="N371" s="8" t="str">
        <f t="shared" si="33"/>
        <v>September</v>
      </c>
      <c r="O371" s="8" t="str">
        <f t="shared" si="34"/>
        <v>Q3</v>
      </c>
      <c r="P371" s="8" t="str">
        <f t="shared" si="35"/>
        <v>2025</v>
      </c>
    </row>
    <row r="372" spans="1:16" x14ac:dyDescent="0.25">
      <c r="A372" s="9" t="s">
        <v>235</v>
      </c>
      <c r="B372" s="8" t="s">
        <v>24</v>
      </c>
      <c r="C372" s="8" t="s">
        <v>12</v>
      </c>
      <c r="D372" s="8" t="s">
        <v>22</v>
      </c>
      <c r="E372" s="8" t="s">
        <v>14</v>
      </c>
      <c r="F372" s="10">
        <v>36325</v>
      </c>
      <c r="G372" s="10">
        <v>16353.7</v>
      </c>
      <c r="H372" s="10">
        <v>7573.96</v>
      </c>
      <c r="I372" s="8">
        <v>113</v>
      </c>
      <c r="J372" s="11">
        <v>0.02</v>
      </c>
      <c r="K372" s="10">
        <f t="shared" si="30"/>
        <v>19971.3</v>
      </c>
      <c r="L372" s="10">
        <f t="shared" si="31"/>
        <v>12397.34</v>
      </c>
      <c r="M372" s="11">
        <f t="shared" si="32"/>
        <v>0.34128947006194083</v>
      </c>
      <c r="N372" s="8" t="str">
        <f t="shared" si="33"/>
        <v>September</v>
      </c>
      <c r="O372" s="8" t="str">
        <f t="shared" si="34"/>
        <v>Q3</v>
      </c>
      <c r="P372" s="8" t="str">
        <f t="shared" si="35"/>
        <v>2025</v>
      </c>
    </row>
    <row r="373" spans="1:16" x14ac:dyDescent="0.25">
      <c r="A373" s="9" t="s">
        <v>48</v>
      </c>
      <c r="B373" s="8" t="s">
        <v>11</v>
      </c>
      <c r="C373" s="8" t="s">
        <v>12</v>
      </c>
      <c r="D373" s="8" t="s">
        <v>18</v>
      </c>
      <c r="E373" s="8" t="s">
        <v>19</v>
      </c>
      <c r="F373" s="10">
        <v>15317</v>
      </c>
      <c r="G373" s="10">
        <v>7154.02</v>
      </c>
      <c r="H373" s="10">
        <v>2314.34</v>
      </c>
      <c r="I373" s="8">
        <v>445</v>
      </c>
      <c r="J373" s="11">
        <v>0.02</v>
      </c>
      <c r="K373" s="10">
        <f t="shared" si="30"/>
        <v>8162.98</v>
      </c>
      <c r="L373" s="10">
        <f t="shared" si="31"/>
        <v>5848.6399999999994</v>
      </c>
      <c r="M373" s="11">
        <f t="shared" si="32"/>
        <v>0.38183978585884959</v>
      </c>
      <c r="N373" s="8" t="str">
        <f t="shared" si="33"/>
        <v>September</v>
      </c>
      <c r="O373" s="8" t="str">
        <f t="shared" si="34"/>
        <v>Q3</v>
      </c>
      <c r="P373" s="8" t="str">
        <f t="shared" si="35"/>
        <v>2025</v>
      </c>
    </row>
    <row r="374" spans="1:16" x14ac:dyDescent="0.25">
      <c r="A374" s="9" t="s">
        <v>48</v>
      </c>
      <c r="B374" s="8" t="s">
        <v>21</v>
      </c>
      <c r="C374" s="8" t="s">
        <v>17</v>
      </c>
      <c r="D374" s="8" t="s">
        <v>18</v>
      </c>
      <c r="E374" s="8" t="s">
        <v>25</v>
      </c>
      <c r="F374" s="10">
        <v>41629</v>
      </c>
      <c r="G374" s="10">
        <v>26169.48</v>
      </c>
      <c r="H374" s="10">
        <v>8867.2099999999991</v>
      </c>
      <c r="I374" s="8">
        <v>466</v>
      </c>
      <c r="J374" s="11">
        <v>0.1</v>
      </c>
      <c r="K374" s="10">
        <f t="shared" si="30"/>
        <v>15459.52</v>
      </c>
      <c r="L374" s="10">
        <f t="shared" si="31"/>
        <v>6592.3100000000013</v>
      </c>
      <c r="M374" s="11">
        <f t="shared" si="32"/>
        <v>0.15835859617093856</v>
      </c>
      <c r="N374" s="8" t="str">
        <f t="shared" si="33"/>
        <v>September</v>
      </c>
      <c r="O374" s="8" t="str">
        <f t="shared" si="34"/>
        <v>Q3</v>
      </c>
      <c r="P374" s="8" t="str">
        <f t="shared" si="35"/>
        <v>2025</v>
      </c>
    </row>
    <row r="375" spans="1:16" x14ac:dyDescent="0.25">
      <c r="A375" s="9" t="s">
        <v>48</v>
      </c>
      <c r="B375" s="8" t="s">
        <v>24</v>
      </c>
      <c r="C375" s="8" t="s">
        <v>12</v>
      </c>
      <c r="D375" s="8" t="s">
        <v>13</v>
      </c>
      <c r="E375" s="8" t="s">
        <v>14</v>
      </c>
      <c r="F375" s="10">
        <v>33112</v>
      </c>
      <c r="G375" s="10">
        <v>17180.02</v>
      </c>
      <c r="H375" s="10">
        <v>6368.17</v>
      </c>
      <c r="I375" s="8">
        <v>414</v>
      </c>
      <c r="J375" s="11">
        <v>0.1</v>
      </c>
      <c r="K375" s="10">
        <f t="shared" si="30"/>
        <v>15931.98</v>
      </c>
      <c r="L375" s="10">
        <f t="shared" si="31"/>
        <v>9563.81</v>
      </c>
      <c r="M375" s="11">
        <f t="shared" si="32"/>
        <v>0.2888321454457598</v>
      </c>
      <c r="N375" s="8" t="str">
        <f t="shared" si="33"/>
        <v>September</v>
      </c>
      <c r="O375" s="8" t="str">
        <f t="shared" si="34"/>
        <v>Q3</v>
      </c>
      <c r="P375" s="8" t="str">
        <f t="shared" si="35"/>
        <v>2025</v>
      </c>
    </row>
    <row r="376" spans="1:16" x14ac:dyDescent="0.25">
      <c r="A376" s="9" t="s">
        <v>199</v>
      </c>
      <c r="B376" s="8" t="s">
        <v>24</v>
      </c>
      <c r="C376" s="8" t="s">
        <v>12</v>
      </c>
      <c r="D376" s="8" t="s">
        <v>13</v>
      </c>
      <c r="E376" s="8" t="s">
        <v>14</v>
      </c>
      <c r="F376" s="10">
        <v>41152</v>
      </c>
      <c r="G376" s="10">
        <v>23596.62</v>
      </c>
      <c r="H376" s="10">
        <v>3388.52</v>
      </c>
      <c r="I376" s="8">
        <v>379</v>
      </c>
      <c r="J376" s="11">
        <v>0.05</v>
      </c>
      <c r="K376" s="10">
        <f t="shared" si="30"/>
        <v>17555.38</v>
      </c>
      <c r="L376" s="10">
        <f t="shared" si="31"/>
        <v>14166.86</v>
      </c>
      <c r="M376" s="11">
        <f t="shared" si="32"/>
        <v>0.34425690124416797</v>
      </c>
      <c r="N376" s="8" t="str">
        <f t="shared" si="33"/>
        <v>September</v>
      </c>
      <c r="O376" s="8" t="str">
        <f t="shared" si="34"/>
        <v>Q3</v>
      </c>
      <c r="P376" s="8" t="str">
        <f t="shared" si="35"/>
        <v>2025</v>
      </c>
    </row>
    <row r="377" spans="1:16" x14ac:dyDescent="0.25">
      <c r="A377" s="9" t="s">
        <v>79</v>
      </c>
      <c r="B377" s="8" t="s">
        <v>11</v>
      </c>
      <c r="C377" s="8" t="s">
        <v>17</v>
      </c>
      <c r="D377" s="8" t="s">
        <v>18</v>
      </c>
      <c r="E377" s="8" t="s">
        <v>19</v>
      </c>
      <c r="F377" s="10">
        <v>6767</v>
      </c>
      <c r="G377" s="10">
        <v>4886.3100000000004</v>
      </c>
      <c r="H377" s="10">
        <v>1102.1099999999999</v>
      </c>
      <c r="I377" s="8">
        <v>349</v>
      </c>
      <c r="J377" s="11">
        <v>0</v>
      </c>
      <c r="K377" s="10">
        <f t="shared" si="30"/>
        <v>1880.6899999999996</v>
      </c>
      <c r="L377" s="10">
        <f t="shared" si="31"/>
        <v>778.5799999999997</v>
      </c>
      <c r="M377" s="11">
        <f t="shared" si="32"/>
        <v>0.11505541598936009</v>
      </c>
      <c r="N377" s="8" t="str">
        <f t="shared" si="33"/>
        <v>October</v>
      </c>
      <c r="O377" s="8" t="str">
        <f t="shared" si="34"/>
        <v>Q4</v>
      </c>
      <c r="P377" s="8" t="str">
        <f t="shared" si="35"/>
        <v>2025</v>
      </c>
    </row>
    <row r="378" spans="1:16" x14ac:dyDescent="0.25">
      <c r="A378" s="9" t="s">
        <v>62</v>
      </c>
      <c r="B378" s="8" t="s">
        <v>24</v>
      </c>
      <c r="C378" s="8" t="s">
        <v>12</v>
      </c>
      <c r="D378" s="8" t="s">
        <v>27</v>
      </c>
      <c r="E378" s="8" t="s">
        <v>25</v>
      </c>
      <c r="F378" s="10">
        <v>26702</v>
      </c>
      <c r="G378" s="10">
        <v>19539.75</v>
      </c>
      <c r="H378" s="10">
        <v>2567.34</v>
      </c>
      <c r="I378" s="8">
        <v>143</v>
      </c>
      <c r="J378" s="11">
        <v>0.02</v>
      </c>
      <c r="K378" s="10">
        <f t="shared" si="30"/>
        <v>7162.25</v>
      </c>
      <c r="L378" s="10">
        <f t="shared" si="31"/>
        <v>4594.91</v>
      </c>
      <c r="M378" s="11">
        <f t="shared" si="32"/>
        <v>0.17208111751928695</v>
      </c>
      <c r="N378" s="8" t="str">
        <f t="shared" si="33"/>
        <v>October</v>
      </c>
      <c r="O378" s="8" t="str">
        <f t="shared" si="34"/>
        <v>Q4</v>
      </c>
      <c r="P378" s="8" t="str">
        <f t="shared" si="35"/>
        <v>2025</v>
      </c>
    </row>
    <row r="379" spans="1:16" x14ac:dyDescent="0.25">
      <c r="A379" s="9" t="s">
        <v>62</v>
      </c>
      <c r="B379" s="8" t="s">
        <v>11</v>
      </c>
      <c r="C379" s="8" t="s">
        <v>12</v>
      </c>
      <c r="D379" s="8" t="s">
        <v>18</v>
      </c>
      <c r="E379" s="8" t="s">
        <v>25</v>
      </c>
      <c r="F379" s="10">
        <v>17483</v>
      </c>
      <c r="G379" s="10">
        <v>8137.65</v>
      </c>
      <c r="H379" s="10">
        <v>2321.8000000000002</v>
      </c>
      <c r="I379" s="8">
        <v>319</v>
      </c>
      <c r="J379" s="11">
        <v>0.15</v>
      </c>
      <c r="K379" s="10">
        <f t="shared" si="30"/>
        <v>9345.35</v>
      </c>
      <c r="L379" s="10">
        <f t="shared" si="31"/>
        <v>7023.55</v>
      </c>
      <c r="M379" s="11">
        <f t="shared" si="32"/>
        <v>0.40173597208717038</v>
      </c>
      <c r="N379" s="8" t="str">
        <f t="shared" si="33"/>
        <v>October</v>
      </c>
      <c r="O379" s="8" t="str">
        <f t="shared" si="34"/>
        <v>Q4</v>
      </c>
      <c r="P379" s="8" t="str">
        <f t="shared" si="35"/>
        <v>2025</v>
      </c>
    </row>
    <row r="380" spans="1:16" x14ac:dyDescent="0.25">
      <c r="A380" s="9" t="s">
        <v>62</v>
      </c>
      <c r="B380" s="8" t="s">
        <v>21</v>
      </c>
      <c r="C380" s="8" t="s">
        <v>17</v>
      </c>
      <c r="D380" s="8" t="s">
        <v>27</v>
      </c>
      <c r="E380" s="8" t="s">
        <v>25</v>
      </c>
      <c r="F380" s="10">
        <v>5637</v>
      </c>
      <c r="G380" s="10">
        <v>3721.8</v>
      </c>
      <c r="H380" s="10">
        <v>658.79</v>
      </c>
      <c r="I380" s="8">
        <v>157</v>
      </c>
      <c r="J380" s="11">
        <v>0</v>
      </c>
      <c r="K380" s="10">
        <f t="shared" si="30"/>
        <v>1915.1999999999998</v>
      </c>
      <c r="L380" s="10">
        <f t="shared" si="31"/>
        <v>1256.4099999999999</v>
      </c>
      <c r="M380" s="11">
        <f t="shared" si="32"/>
        <v>0.22288628703210925</v>
      </c>
      <c r="N380" s="8" t="str">
        <f t="shared" si="33"/>
        <v>October</v>
      </c>
      <c r="O380" s="8" t="str">
        <f t="shared" si="34"/>
        <v>Q4</v>
      </c>
      <c r="P380" s="8" t="str">
        <f t="shared" si="35"/>
        <v>2025</v>
      </c>
    </row>
    <row r="381" spans="1:16" x14ac:dyDescent="0.25">
      <c r="A381" s="9" t="s">
        <v>190</v>
      </c>
      <c r="B381" s="8" t="s">
        <v>24</v>
      </c>
      <c r="C381" s="8" t="s">
        <v>12</v>
      </c>
      <c r="D381" s="8" t="s">
        <v>22</v>
      </c>
      <c r="E381" s="8" t="s">
        <v>14</v>
      </c>
      <c r="F381" s="10">
        <v>32795</v>
      </c>
      <c r="G381" s="10">
        <v>19991.18</v>
      </c>
      <c r="H381" s="10">
        <v>6403.89</v>
      </c>
      <c r="I381" s="8">
        <v>136</v>
      </c>
      <c r="J381" s="11">
        <v>0.1</v>
      </c>
      <c r="K381" s="10">
        <f t="shared" si="30"/>
        <v>12803.82</v>
      </c>
      <c r="L381" s="10">
        <f t="shared" si="31"/>
        <v>6399.9299999999994</v>
      </c>
      <c r="M381" s="11">
        <f t="shared" si="32"/>
        <v>0.19514956548254306</v>
      </c>
      <c r="N381" s="8" t="str">
        <f t="shared" si="33"/>
        <v>October</v>
      </c>
      <c r="O381" s="8" t="str">
        <f t="shared" si="34"/>
        <v>Q4</v>
      </c>
      <c r="P381" s="8" t="str">
        <f t="shared" si="35"/>
        <v>2025</v>
      </c>
    </row>
    <row r="382" spans="1:16" x14ac:dyDescent="0.25">
      <c r="A382" s="9" t="s">
        <v>91</v>
      </c>
      <c r="B382" s="8" t="s">
        <v>16</v>
      </c>
      <c r="C382" s="8" t="s">
        <v>12</v>
      </c>
      <c r="D382" s="8" t="s">
        <v>18</v>
      </c>
      <c r="E382" s="8" t="s">
        <v>19</v>
      </c>
      <c r="F382" s="10">
        <v>26678</v>
      </c>
      <c r="G382" s="10">
        <v>14820.78</v>
      </c>
      <c r="H382" s="10">
        <v>3828.94</v>
      </c>
      <c r="I382" s="8">
        <v>166</v>
      </c>
      <c r="J382" s="11">
        <v>0.05</v>
      </c>
      <c r="K382" s="10">
        <f t="shared" si="30"/>
        <v>11857.22</v>
      </c>
      <c r="L382" s="10">
        <f t="shared" si="31"/>
        <v>8028.2799999999988</v>
      </c>
      <c r="M382" s="11">
        <f t="shared" si="32"/>
        <v>0.30093260364345148</v>
      </c>
      <c r="N382" s="8" t="str">
        <f t="shared" si="33"/>
        <v>October</v>
      </c>
      <c r="O382" s="8" t="str">
        <f t="shared" si="34"/>
        <v>Q4</v>
      </c>
      <c r="P382" s="8" t="str">
        <f t="shared" si="35"/>
        <v>2025</v>
      </c>
    </row>
    <row r="383" spans="1:16" x14ac:dyDescent="0.25">
      <c r="A383" s="9" t="s">
        <v>91</v>
      </c>
      <c r="B383" s="8" t="s">
        <v>16</v>
      </c>
      <c r="C383" s="8" t="s">
        <v>12</v>
      </c>
      <c r="D383" s="8" t="s">
        <v>27</v>
      </c>
      <c r="E383" s="8" t="s">
        <v>19</v>
      </c>
      <c r="F383" s="10">
        <v>36393</v>
      </c>
      <c r="G383" s="10">
        <v>17042.61</v>
      </c>
      <c r="H383" s="10">
        <v>4336.8999999999996</v>
      </c>
      <c r="I383" s="8">
        <v>80</v>
      </c>
      <c r="J383" s="11">
        <v>0.1</v>
      </c>
      <c r="K383" s="10">
        <f t="shared" si="30"/>
        <v>19350.39</v>
      </c>
      <c r="L383" s="10">
        <f t="shared" si="31"/>
        <v>15013.49</v>
      </c>
      <c r="M383" s="11">
        <f t="shared" si="32"/>
        <v>0.41253785068557142</v>
      </c>
      <c r="N383" s="8" t="str">
        <f t="shared" si="33"/>
        <v>October</v>
      </c>
      <c r="O383" s="8" t="str">
        <f t="shared" si="34"/>
        <v>Q4</v>
      </c>
      <c r="P383" s="8" t="str">
        <f t="shared" si="35"/>
        <v>2025</v>
      </c>
    </row>
    <row r="384" spans="1:16" x14ac:dyDescent="0.25">
      <c r="A384" s="9" t="s">
        <v>91</v>
      </c>
      <c r="B384" s="8" t="s">
        <v>24</v>
      </c>
      <c r="C384" s="8" t="s">
        <v>17</v>
      </c>
      <c r="D384" s="8" t="s">
        <v>18</v>
      </c>
      <c r="E384" s="8" t="s">
        <v>25</v>
      </c>
      <c r="F384" s="10">
        <v>23644</v>
      </c>
      <c r="G384" s="10">
        <v>15790.45</v>
      </c>
      <c r="H384" s="10">
        <v>3742.28</v>
      </c>
      <c r="I384" s="8">
        <v>308</v>
      </c>
      <c r="J384" s="11">
        <v>0.05</v>
      </c>
      <c r="K384" s="10">
        <f t="shared" si="30"/>
        <v>7853.5499999999993</v>
      </c>
      <c r="L384" s="10">
        <f t="shared" si="31"/>
        <v>4111.2699999999986</v>
      </c>
      <c r="M384" s="11">
        <f t="shared" si="32"/>
        <v>0.17388216883776006</v>
      </c>
      <c r="N384" s="8" t="str">
        <f t="shared" si="33"/>
        <v>October</v>
      </c>
      <c r="O384" s="8" t="str">
        <f t="shared" si="34"/>
        <v>Q4</v>
      </c>
      <c r="P384" s="8" t="str">
        <f t="shared" si="35"/>
        <v>2025</v>
      </c>
    </row>
    <row r="385" spans="1:16" x14ac:dyDescent="0.25">
      <c r="A385" s="9" t="s">
        <v>93</v>
      </c>
      <c r="B385" s="8" t="s">
        <v>11</v>
      </c>
      <c r="C385" s="8" t="s">
        <v>12</v>
      </c>
      <c r="D385" s="8" t="s">
        <v>22</v>
      </c>
      <c r="E385" s="8" t="s">
        <v>19</v>
      </c>
      <c r="F385" s="10">
        <v>24145</v>
      </c>
      <c r="G385" s="10">
        <v>15916.99</v>
      </c>
      <c r="H385" s="10">
        <v>2358.46</v>
      </c>
      <c r="I385" s="8">
        <v>454</v>
      </c>
      <c r="J385" s="11">
        <v>0.1</v>
      </c>
      <c r="K385" s="10">
        <f t="shared" si="30"/>
        <v>8228.01</v>
      </c>
      <c r="L385" s="10">
        <f t="shared" si="31"/>
        <v>5869.55</v>
      </c>
      <c r="M385" s="11">
        <f t="shared" si="32"/>
        <v>0.24309587906398841</v>
      </c>
      <c r="N385" s="8" t="str">
        <f t="shared" si="33"/>
        <v>October</v>
      </c>
      <c r="O385" s="8" t="str">
        <f t="shared" si="34"/>
        <v>Q4</v>
      </c>
      <c r="P385" s="8" t="str">
        <f t="shared" si="35"/>
        <v>2025</v>
      </c>
    </row>
    <row r="386" spans="1:16" x14ac:dyDescent="0.25">
      <c r="A386" s="9" t="s">
        <v>93</v>
      </c>
      <c r="B386" s="8" t="s">
        <v>24</v>
      </c>
      <c r="C386" s="8" t="s">
        <v>17</v>
      </c>
      <c r="D386" s="8" t="s">
        <v>18</v>
      </c>
      <c r="E386" s="8" t="s">
        <v>14</v>
      </c>
      <c r="F386" s="10">
        <v>7688</v>
      </c>
      <c r="G386" s="10">
        <v>4496.87</v>
      </c>
      <c r="H386" s="10">
        <v>1486.66</v>
      </c>
      <c r="I386" s="8">
        <v>343</v>
      </c>
      <c r="J386" s="11">
        <v>0.02</v>
      </c>
      <c r="K386" s="10">
        <f t="shared" si="30"/>
        <v>3191.13</v>
      </c>
      <c r="L386" s="10">
        <f t="shared" si="31"/>
        <v>1704.47</v>
      </c>
      <c r="M386" s="11">
        <f t="shared" si="32"/>
        <v>0.22170525494276797</v>
      </c>
      <c r="N386" s="8" t="str">
        <f t="shared" si="33"/>
        <v>October</v>
      </c>
      <c r="O386" s="8" t="str">
        <f t="shared" si="34"/>
        <v>Q4</v>
      </c>
      <c r="P386" s="8" t="str">
        <f t="shared" si="35"/>
        <v>2025</v>
      </c>
    </row>
    <row r="387" spans="1:16" x14ac:dyDescent="0.25">
      <c r="A387" s="9" t="s">
        <v>93</v>
      </c>
      <c r="B387" s="8" t="s">
        <v>24</v>
      </c>
      <c r="C387" s="8" t="s">
        <v>12</v>
      </c>
      <c r="D387" s="8" t="s">
        <v>13</v>
      </c>
      <c r="E387" s="8" t="s">
        <v>25</v>
      </c>
      <c r="F387" s="10">
        <v>43275</v>
      </c>
      <c r="G387" s="10">
        <v>26992.47</v>
      </c>
      <c r="H387" s="10">
        <v>5991.9</v>
      </c>
      <c r="I387" s="8">
        <v>88</v>
      </c>
      <c r="J387" s="11">
        <v>0.02</v>
      </c>
      <c r="K387" s="10">
        <f t="shared" ref="K387:K450" si="36">F387-G387</f>
        <v>16282.529999999999</v>
      </c>
      <c r="L387" s="10">
        <f t="shared" ref="L387:L450" si="37">F387-G387-H387</f>
        <v>10290.629999999999</v>
      </c>
      <c r="M387" s="11">
        <f t="shared" ref="M387:M450" si="38">L387/F387</f>
        <v>0.23779618717504331</v>
      </c>
      <c r="N387" s="8" t="str">
        <f t="shared" ref="N387:N450" si="39">TEXT(A387,"MMMM")</f>
        <v>October</v>
      </c>
      <c r="O387" s="8" t="str">
        <f t="shared" ref="O387:O450" si="40">"Q"&amp;ROUNDUP(MONTH(A387)/3,0)</f>
        <v>Q4</v>
      </c>
      <c r="P387" s="8" t="str">
        <f t="shared" ref="P387:P450" si="41">TEXT(A387,"YYYY")</f>
        <v>2025</v>
      </c>
    </row>
    <row r="388" spans="1:16" x14ac:dyDescent="0.25">
      <c r="A388" s="9" t="s">
        <v>93</v>
      </c>
      <c r="B388" s="8" t="s">
        <v>11</v>
      </c>
      <c r="C388" s="8" t="s">
        <v>17</v>
      </c>
      <c r="D388" s="8" t="s">
        <v>18</v>
      </c>
      <c r="E388" s="8" t="s">
        <v>25</v>
      </c>
      <c r="F388" s="10">
        <v>29603</v>
      </c>
      <c r="G388" s="10">
        <v>17156.55</v>
      </c>
      <c r="H388" s="10">
        <v>5185.18</v>
      </c>
      <c r="I388" s="8">
        <v>348</v>
      </c>
      <c r="J388" s="11">
        <v>0.1</v>
      </c>
      <c r="K388" s="10">
        <f t="shared" si="36"/>
        <v>12446.45</v>
      </c>
      <c r="L388" s="10">
        <f t="shared" si="37"/>
        <v>7261.27</v>
      </c>
      <c r="M388" s="11">
        <f t="shared" si="38"/>
        <v>0.2452883153734419</v>
      </c>
      <c r="N388" s="8" t="str">
        <f t="shared" si="39"/>
        <v>October</v>
      </c>
      <c r="O388" s="8" t="str">
        <f t="shared" si="40"/>
        <v>Q4</v>
      </c>
      <c r="P388" s="8" t="str">
        <f t="shared" si="41"/>
        <v>2025</v>
      </c>
    </row>
    <row r="389" spans="1:16" x14ac:dyDescent="0.25">
      <c r="A389" s="9" t="s">
        <v>95</v>
      </c>
      <c r="B389" s="8" t="s">
        <v>21</v>
      </c>
      <c r="C389" s="8" t="s">
        <v>17</v>
      </c>
      <c r="D389" s="8" t="s">
        <v>13</v>
      </c>
      <c r="E389" s="8" t="s">
        <v>19</v>
      </c>
      <c r="F389" s="10">
        <v>32274</v>
      </c>
      <c r="G389" s="10">
        <v>20393.79</v>
      </c>
      <c r="H389" s="10">
        <v>6154.77</v>
      </c>
      <c r="I389" s="8">
        <v>125</v>
      </c>
      <c r="J389" s="11">
        <v>0.15</v>
      </c>
      <c r="K389" s="10">
        <f t="shared" si="36"/>
        <v>11880.21</v>
      </c>
      <c r="L389" s="10">
        <f t="shared" si="37"/>
        <v>5725.4399999999987</v>
      </c>
      <c r="M389" s="11">
        <f t="shared" si="38"/>
        <v>0.17740100390407135</v>
      </c>
      <c r="N389" s="8" t="str">
        <f t="shared" si="39"/>
        <v>October</v>
      </c>
      <c r="O389" s="8" t="str">
        <f t="shared" si="40"/>
        <v>Q4</v>
      </c>
      <c r="P389" s="8" t="str">
        <f t="shared" si="41"/>
        <v>2025</v>
      </c>
    </row>
    <row r="390" spans="1:16" x14ac:dyDescent="0.25">
      <c r="A390" s="9" t="s">
        <v>95</v>
      </c>
      <c r="B390" s="8" t="s">
        <v>11</v>
      </c>
      <c r="C390" s="8" t="s">
        <v>17</v>
      </c>
      <c r="D390" s="8" t="s">
        <v>22</v>
      </c>
      <c r="E390" s="8" t="s">
        <v>14</v>
      </c>
      <c r="F390" s="10">
        <v>39733</v>
      </c>
      <c r="G390" s="10">
        <v>19478.22</v>
      </c>
      <c r="H390" s="10">
        <v>4529.57</v>
      </c>
      <c r="I390" s="8">
        <v>114</v>
      </c>
      <c r="J390" s="11">
        <v>0.05</v>
      </c>
      <c r="K390" s="10">
        <f t="shared" si="36"/>
        <v>20254.78</v>
      </c>
      <c r="L390" s="10">
        <f t="shared" si="37"/>
        <v>15725.21</v>
      </c>
      <c r="M390" s="11">
        <f t="shared" si="38"/>
        <v>0.3957720282888279</v>
      </c>
      <c r="N390" s="8" t="str">
        <f t="shared" si="39"/>
        <v>October</v>
      </c>
      <c r="O390" s="8" t="str">
        <f t="shared" si="40"/>
        <v>Q4</v>
      </c>
      <c r="P390" s="8" t="str">
        <f t="shared" si="41"/>
        <v>2025</v>
      </c>
    </row>
    <row r="391" spans="1:16" x14ac:dyDescent="0.25">
      <c r="A391" s="9" t="s">
        <v>95</v>
      </c>
      <c r="B391" s="8" t="s">
        <v>21</v>
      </c>
      <c r="C391" s="8" t="s">
        <v>17</v>
      </c>
      <c r="D391" s="8" t="s">
        <v>13</v>
      </c>
      <c r="E391" s="8" t="s">
        <v>19</v>
      </c>
      <c r="F391" s="10">
        <v>9616</v>
      </c>
      <c r="G391" s="10">
        <v>5985.85</v>
      </c>
      <c r="H391" s="10">
        <v>1075.75</v>
      </c>
      <c r="I391" s="8">
        <v>142</v>
      </c>
      <c r="J391" s="11">
        <v>0.1</v>
      </c>
      <c r="K391" s="10">
        <f t="shared" si="36"/>
        <v>3630.1499999999996</v>
      </c>
      <c r="L391" s="10">
        <f t="shared" si="37"/>
        <v>2554.3999999999996</v>
      </c>
      <c r="M391" s="11">
        <f t="shared" si="38"/>
        <v>0.26564059900166387</v>
      </c>
      <c r="N391" s="8" t="str">
        <f t="shared" si="39"/>
        <v>October</v>
      </c>
      <c r="O391" s="8" t="str">
        <f t="shared" si="40"/>
        <v>Q4</v>
      </c>
      <c r="P391" s="8" t="str">
        <f t="shared" si="41"/>
        <v>2025</v>
      </c>
    </row>
    <row r="392" spans="1:16" x14ac:dyDescent="0.25">
      <c r="A392" s="9" t="s">
        <v>210</v>
      </c>
      <c r="B392" s="8" t="s">
        <v>16</v>
      </c>
      <c r="C392" s="8" t="s">
        <v>17</v>
      </c>
      <c r="D392" s="8" t="s">
        <v>13</v>
      </c>
      <c r="E392" s="8" t="s">
        <v>14</v>
      </c>
      <c r="F392" s="10">
        <v>32942</v>
      </c>
      <c r="G392" s="10">
        <v>24296</v>
      </c>
      <c r="H392" s="10">
        <v>3704.65</v>
      </c>
      <c r="I392" s="8">
        <v>217</v>
      </c>
      <c r="J392" s="11">
        <v>0.02</v>
      </c>
      <c r="K392" s="10">
        <f t="shared" si="36"/>
        <v>8646</v>
      </c>
      <c r="L392" s="10">
        <f t="shared" si="37"/>
        <v>4941.3500000000004</v>
      </c>
      <c r="M392" s="11">
        <f t="shared" si="38"/>
        <v>0.15000151781919738</v>
      </c>
      <c r="N392" s="8" t="str">
        <f t="shared" si="39"/>
        <v>October</v>
      </c>
      <c r="O392" s="8" t="str">
        <f t="shared" si="40"/>
        <v>Q4</v>
      </c>
      <c r="P392" s="8" t="str">
        <f t="shared" si="41"/>
        <v>2025</v>
      </c>
    </row>
    <row r="393" spans="1:16" x14ac:dyDescent="0.25">
      <c r="A393" s="9" t="s">
        <v>261</v>
      </c>
      <c r="B393" s="8" t="s">
        <v>24</v>
      </c>
      <c r="C393" s="8" t="s">
        <v>17</v>
      </c>
      <c r="D393" s="8" t="s">
        <v>27</v>
      </c>
      <c r="E393" s="8" t="s">
        <v>25</v>
      </c>
      <c r="F393" s="10">
        <v>36481</v>
      </c>
      <c r="G393" s="10">
        <v>22794.86</v>
      </c>
      <c r="H393" s="10">
        <v>7733.03</v>
      </c>
      <c r="I393" s="8">
        <v>373</v>
      </c>
      <c r="J393" s="11">
        <v>0.1</v>
      </c>
      <c r="K393" s="10">
        <f t="shared" si="36"/>
        <v>13686.14</v>
      </c>
      <c r="L393" s="10">
        <f t="shared" si="37"/>
        <v>5953.11</v>
      </c>
      <c r="M393" s="11">
        <f t="shared" si="38"/>
        <v>0.16318384912694278</v>
      </c>
      <c r="N393" s="8" t="str">
        <f t="shared" si="39"/>
        <v>October</v>
      </c>
      <c r="O393" s="8" t="str">
        <f t="shared" si="40"/>
        <v>Q4</v>
      </c>
      <c r="P393" s="8" t="str">
        <f t="shared" si="41"/>
        <v>2025</v>
      </c>
    </row>
    <row r="394" spans="1:16" x14ac:dyDescent="0.25">
      <c r="A394" s="9" t="s">
        <v>115</v>
      </c>
      <c r="B394" s="8" t="s">
        <v>21</v>
      </c>
      <c r="C394" s="8" t="s">
        <v>17</v>
      </c>
      <c r="D394" s="8" t="s">
        <v>18</v>
      </c>
      <c r="E394" s="8" t="s">
        <v>25</v>
      </c>
      <c r="F394" s="10">
        <v>49944</v>
      </c>
      <c r="G394" s="10">
        <v>34136.400000000001</v>
      </c>
      <c r="H394" s="10">
        <v>10803.11</v>
      </c>
      <c r="I394" s="8">
        <v>476</v>
      </c>
      <c r="J394" s="11">
        <v>0.15</v>
      </c>
      <c r="K394" s="10">
        <f t="shared" si="36"/>
        <v>15807.599999999999</v>
      </c>
      <c r="L394" s="10">
        <f t="shared" si="37"/>
        <v>5004.489999999998</v>
      </c>
      <c r="M394" s="11">
        <f t="shared" si="38"/>
        <v>0.10020202626942171</v>
      </c>
      <c r="N394" s="8" t="str">
        <f t="shared" si="39"/>
        <v>October</v>
      </c>
      <c r="O394" s="8" t="str">
        <f t="shared" si="40"/>
        <v>Q4</v>
      </c>
      <c r="P394" s="8" t="str">
        <f t="shared" si="41"/>
        <v>2025</v>
      </c>
    </row>
    <row r="395" spans="1:16" x14ac:dyDescent="0.25">
      <c r="A395" s="9" t="s">
        <v>184</v>
      </c>
      <c r="B395" s="8" t="s">
        <v>21</v>
      </c>
      <c r="C395" s="8" t="s">
        <v>12</v>
      </c>
      <c r="D395" s="8" t="s">
        <v>13</v>
      </c>
      <c r="E395" s="8" t="s">
        <v>19</v>
      </c>
      <c r="F395" s="10">
        <v>44503</v>
      </c>
      <c r="G395" s="10">
        <v>21458.91</v>
      </c>
      <c r="H395" s="10">
        <v>9684.7000000000007</v>
      </c>
      <c r="I395" s="8">
        <v>155</v>
      </c>
      <c r="J395" s="11">
        <v>0.1</v>
      </c>
      <c r="K395" s="10">
        <f t="shared" si="36"/>
        <v>23044.09</v>
      </c>
      <c r="L395" s="10">
        <f t="shared" si="37"/>
        <v>13359.39</v>
      </c>
      <c r="M395" s="11">
        <f t="shared" si="38"/>
        <v>0.30019077365570856</v>
      </c>
      <c r="N395" s="8" t="str">
        <f t="shared" si="39"/>
        <v>October</v>
      </c>
      <c r="O395" s="8" t="str">
        <f t="shared" si="40"/>
        <v>Q4</v>
      </c>
      <c r="P395" s="8" t="str">
        <f t="shared" si="41"/>
        <v>2025</v>
      </c>
    </row>
    <row r="396" spans="1:16" x14ac:dyDescent="0.25">
      <c r="A396" s="9" t="s">
        <v>184</v>
      </c>
      <c r="B396" s="8" t="s">
        <v>21</v>
      </c>
      <c r="C396" s="8" t="s">
        <v>17</v>
      </c>
      <c r="D396" s="8" t="s">
        <v>27</v>
      </c>
      <c r="E396" s="8" t="s">
        <v>19</v>
      </c>
      <c r="F396" s="10">
        <v>49197</v>
      </c>
      <c r="G396" s="10">
        <v>33315.46</v>
      </c>
      <c r="H396" s="10">
        <v>5144.5</v>
      </c>
      <c r="I396" s="8">
        <v>448</v>
      </c>
      <c r="J396" s="11">
        <v>0.1</v>
      </c>
      <c r="K396" s="10">
        <f t="shared" si="36"/>
        <v>15881.54</v>
      </c>
      <c r="L396" s="10">
        <f t="shared" si="37"/>
        <v>10737.04</v>
      </c>
      <c r="M396" s="11">
        <f t="shared" si="38"/>
        <v>0.21824582799764214</v>
      </c>
      <c r="N396" s="8" t="str">
        <f t="shared" si="39"/>
        <v>October</v>
      </c>
      <c r="O396" s="8" t="str">
        <f t="shared" si="40"/>
        <v>Q4</v>
      </c>
      <c r="P396" s="8" t="str">
        <f t="shared" si="41"/>
        <v>2025</v>
      </c>
    </row>
    <row r="397" spans="1:16" x14ac:dyDescent="0.25">
      <c r="A397" s="9" t="s">
        <v>184</v>
      </c>
      <c r="B397" s="8" t="s">
        <v>11</v>
      </c>
      <c r="C397" s="8" t="s">
        <v>12</v>
      </c>
      <c r="D397" s="8" t="s">
        <v>22</v>
      </c>
      <c r="E397" s="8" t="s">
        <v>14</v>
      </c>
      <c r="F397" s="10">
        <v>36162</v>
      </c>
      <c r="G397" s="10">
        <v>19213.900000000001</v>
      </c>
      <c r="H397" s="10">
        <v>7571.68</v>
      </c>
      <c r="I397" s="8">
        <v>360</v>
      </c>
      <c r="J397" s="11">
        <v>0.05</v>
      </c>
      <c r="K397" s="10">
        <f t="shared" si="36"/>
        <v>16948.099999999999</v>
      </c>
      <c r="L397" s="10">
        <f t="shared" si="37"/>
        <v>9376.4199999999983</v>
      </c>
      <c r="M397" s="11">
        <f t="shared" si="38"/>
        <v>0.25928930921962279</v>
      </c>
      <c r="N397" s="8" t="str">
        <f t="shared" si="39"/>
        <v>October</v>
      </c>
      <c r="O397" s="8" t="str">
        <f t="shared" si="40"/>
        <v>Q4</v>
      </c>
      <c r="P397" s="8" t="str">
        <f t="shared" si="41"/>
        <v>2025</v>
      </c>
    </row>
    <row r="398" spans="1:16" x14ac:dyDescent="0.25">
      <c r="A398" s="9" t="s">
        <v>184</v>
      </c>
      <c r="B398" s="8" t="s">
        <v>11</v>
      </c>
      <c r="C398" s="8" t="s">
        <v>17</v>
      </c>
      <c r="D398" s="8" t="s">
        <v>27</v>
      </c>
      <c r="E398" s="8" t="s">
        <v>19</v>
      </c>
      <c r="F398" s="10">
        <v>8564</v>
      </c>
      <c r="G398" s="10">
        <v>6041.19</v>
      </c>
      <c r="H398" s="10">
        <v>1802.99</v>
      </c>
      <c r="I398" s="8">
        <v>291</v>
      </c>
      <c r="J398" s="11">
        <v>0.1</v>
      </c>
      <c r="K398" s="10">
        <f t="shared" si="36"/>
        <v>2522.8100000000004</v>
      </c>
      <c r="L398" s="10">
        <f t="shared" si="37"/>
        <v>719.82000000000039</v>
      </c>
      <c r="M398" s="11">
        <f t="shared" si="38"/>
        <v>8.4051844932274689E-2</v>
      </c>
      <c r="N398" s="8" t="str">
        <f t="shared" si="39"/>
        <v>October</v>
      </c>
      <c r="O398" s="8" t="str">
        <f t="shared" si="40"/>
        <v>Q4</v>
      </c>
      <c r="P398" s="8" t="str">
        <f t="shared" si="41"/>
        <v>2025</v>
      </c>
    </row>
    <row r="399" spans="1:16" x14ac:dyDescent="0.25">
      <c r="A399" s="9" t="s">
        <v>87</v>
      </c>
      <c r="B399" s="8" t="s">
        <v>16</v>
      </c>
      <c r="C399" s="8" t="s">
        <v>17</v>
      </c>
      <c r="D399" s="8" t="s">
        <v>18</v>
      </c>
      <c r="E399" s="8" t="s">
        <v>19</v>
      </c>
      <c r="F399" s="10">
        <v>44998</v>
      </c>
      <c r="G399" s="10">
        <v>29269.24</v>
      </c>
      <c r="H399" s="10">
        <v>5719.04</v>
      </c>
      <c r="I399" s="8">
        <v>263</v>
      </c>
      <c r="J399" s="11">
        <v>0.05</v>
      </c>
      <c r="K399" s="10">
        <f t="shared" si="36"/>
        <v>15728.759999999998</v>
      </c>
      <c r="L399" s="10">
        <f t="shared" si="37"/>
        <v>10009.719999999998</v>
      </c>
      <c r="M399" s="11">
        <f t="shared" si="38"/>
        <v>0.2224481088048357</v>
      </c>
      <c r="N399" s="8" t="str">
        <f t="shared" si="39"/>
        <v>October</v>
      </c>
      <c r="O399" s="8" t="str">
        <f t="shared" si="40"/>
        <v>Q4</v>
      </c>
      <c r="P399" s="8" t="str">
        <f t="shared" si="41"/>
        <v>2025</v>
      </c>
    </row>
    <row r="400" spans="1:16" x14ac:dyDescent="0.25">
      <c r="A400" s="9" t="s">
        <v>87</v>
      </c>
      <c r="B400" s="8" t="s">
        <v>11</v>
      </c>
      <c r="C400" s="8" t="s">
        <v>12</v>
      </c>
      <c r="D400" s="8" t="s">
        <v>27</v>
      </c>
      <c r="E400" s="8" t="s">
        <v>14</v>
      </c>
      <c r="F400" s="10">
        <v>32581</v>
      </c>
      <c r="G400" s="10">
        <v>18233.099999999999</v>
      </c>
      <c r="H400" s="10">
        <v>5721.61</v>
      </c>
      <c r="I400" s="8">
        <v>400</v>
      </c>
      <c r="J400" s="11">
        <v>0.1</v>
      </c>
      <c r="K400" s="10">
        <f t="shared" si="36"/>
        <v>14347.900000000001</v>
      </c>
      <c r="L400" s="10">
        <f t="shared" si="37"/>
        <v>8626.2900000000009</v>
      </c>
      <c r="M400" s="11">
        <f t="shared" si="38"/>
        <v>0.26476443325864768</v>
      </c>
      <c r="N400" s="8" t="str">
        <f t="shared" si="39"/>
        <v>October</v>
      </c>
      <c r="O400" s="8" t="str">
        <f t="shared" si="40"/>
        <v>Q4</v>
      </c>
      <c r="P400" s="8" t="str">
        <f t="shared" si="41"/>
        <v>2025</v>
      </c>
    </row>
    <row r="401" spans="1:16" x14ac:dyDescent="0.25">
      <c r="A401" s="9" t="s">
        <v>132</v>
      </c>
      <c r="B401" s="8" t="s">
        <v>11</v>
      </c>
      <c r="C401" s="8" t="s">
        <v>17</v>
      </c>
      <c r="D401" s="8" t="s">
        <v>27</v>
      </c>
      <c r="E401" s="8" t="s">
        <v>14</v>
      </c>
      <c r="F401" s="10">
        <v>19821</v>
      </c>
      <c r="G401" s="10">
        <v>13719.43</v>
      </c>
      <c r="H401" s="10">
        <v>3930.93</v>
      </c>
      <c r="I401" s="8">
        <v>402</v>
      </c>
      <c r="J401" s="11">
        <v>0.15</v>
      </c>
      <c r="K401" s="10">
        <f t="shared" si="36"/>
        <v>6101.57</v>
      </c>
      <c r="L401" s="10">
        <f t="shared" si="37"/>
        <v>2170.64</v>
      </c>
      <c r="M401" s="11">
        <f t="shared" si="38"/>
        <v>0.10951213359568134</v>
      </c>
      <c r="N401" s="8" t="str">
        <f t="shared" si="39"/>
        <v>October</v>
      </c>
      <c r="O401" s="8" t="str">
        <f t="shared" si="40"/>
        <v>Q4</v>
      </c>
      <c r="P401" s="8" t="str">
        <f t="shared" si="41"/>
        <v>2025</v>
      </c>
    </row>
    <row r="402" spans="1:16" x14ac:dyDescent="0.25">
      <c r="A402" s="9" t="s">
        <v>132</v>
      </c>
      <c r="B402" s="8" t="s">
        <v>21</v>
      </c>
      <c r="C402" s="8" t="s">
        <v>12</v>
      </c>
      <c r="D402" s="8" t="s">
        <v>13</v>
      </c>
      <c r="E402" s="8" t="s">
        <v>25</v>
      </c>
      <c r="F402" s="10">
        <v>12202</v>
      </c>
      <c r="G402" s="10">
        <v>6189.29</v>
      </c>
      <c r="H402" s="10">
        <v>1729.58</v>
      </c>
      <c r="I402" s="8">
        <v>224</v>
      </c>
      <c r="J402" s="11">
        <v>0.02</v>
      </c>
      <c r="K402" s="10">
        <f t="shared" si="36"/>
        <v>6012.71</v>
      </c>
      <c r="L402" s="10">
        <f t="shared" si="37"/>
        <v>4283.13</v>
      </c>
      <c r="M402" s="11">
        <f t="shared" si="38"/>
        <v>0.3510186854613998</v>
      </c>
      <c r="N402" s="8" t="str">
        <f t="shared" si="39"/>
        <v>October</v>
      </c>
      <c r="O402" s="8" t="str">
        <f t="shared" si="40"/>
        <v>Q4</v>
      </c>
      <c r="P402" s="8" t="str">
        <f t="shared" si="41"/>
        <v>2025</v>
      </c>
    </row>
    <row r="403" spans="1:16" x14ac:dyDescent="0.25">
      <c r="A403" s="9" t="s">
        <v>132</v>
      </c>
      <c r="B403" s="8" t="s">
        <v>16</v>
      </c>
      <c r="C403" s="8" t="s">
        <v>17</v>
      </c>
      <c r="D403" s="8" t="s">
        <v>27</v>
      </c>
      <c r="E403" s="8" t="s">
        <v>19</v>
      </c>
      <c r="F403" s="10">
        <v>22520</v>
      </c>
      <c r="G403" s="10">
        <v>16568.400000000001</v>
      </c>
      <c r="H403" s="10">
        <v>3423.45</v>
      </c>
      <c r="I403" s="8">
        <v>470</v>
      </c>
      <c r="J403" s="11">
        <v>0</v>
      </c>
      <c r="K403" s="10">
        <f t="shared" si="36"/>
        <v>5951.5999999999985</v>
      </c>
      <c r="L403" s="10">
        <f t="shared" si="37"/>
        <v>2528.1499999999987</v>
      </c>
      <c r="M403" s="11">
        <f t="shared" si="38"/>
        <v>0.11226243339253991</v>
      </c>
      <c r="N403" s="8" t="str">
        <f t="shared" si="39"/>
        <v>October</v>
      </c>
      <c r="O403" s="8" t="str">
        <f t="shared" si="40"/>
        <v>Q4</v>
      </c>
      <c r="P403" s="8" t="str">
        <f t="shared" si="41"/>
        <v>2025</v>
      </c>
    </row>
    <row r="404" spans="1:16" x14ac:dyDescent="0.25">
      <c r="A404" s="9" t="s">
        <v>132</v>
      </c>
      <c r="B404" s="8" t="s">
        <v>16</v>
      </c>
      <c r="C404" s="8" t="s">
        <v>17</v>
      </c>
      <c r="D404" s="8" t="s">
        <v>18</v>
      </c>
      <c r="E404" s="8" t="s">
        <v>19</v>
      </c>
      <c r="F404" s="10">
        <v>44102</v>
      </c>
      <c r="G404" s="10">
        <v>25059.84</v>
      </c>
      <c r="H404" s="10">
        <v>6908.74</v>
      </c>
      <c r="I404" s="8">
        <v>53</v>
      </c>
      <c r="J404" s="11">
        <v>0.05</v>
      </c>
      <c r="K404" s="10">
        <f t="shared" si="36"/>
        <v>19042.16</v>
      </c>
      <c r="L404" s="10">
        <f t="shared" si="37"/>
        <v>12133.42</v>
      </c>
      <c r="M404" s="11">
        <f t="shared" si="38"/>
        <v>0.27512176318534309</v>
      </c>
      <c r="N404" s="8" t="str">
        <f t="shared" si="39"/>
        <v>October</v>
      </c>
      <c r="O404" s="8" t="str">
        <f t="shared" si="40"/>
        <v>Q4</v>
      </c>
      <c r="P404" s="8" t="str">
        <f t="shared" si="41"/>
        <v>2025</v>
      </c>
    </row>
    <row r="405" spans="1:16" x14ac:dyDescent="0.25">
      <c r="A405" s="9" t="s">
        <v>171</v>
      </c>
      <c r="B405" s="8" t="s">
        <v>21</v>
      </c>
      <c r="C405" s="8" t="s">
        <v>17</v>
      </c>
      <c r="D405" s="8" t="s">
        <v>13</v>
      </c>
      <c r="E405" s="8" t="s">
        <v>14</v>
      </c>
      <c r="F405" s="10">
        <v>25494</v>
      </c>
      <c r="G405" s="10">
        <v>12924.19</v>
      </c>
      <c r="H405" s="10">
        <v>2608.2399999999998</v>
      </c>
      <c r="I405" s="8">
        <v>273</v>
      </c>
      <c r="J405" s="11">
        <v>0.1</v>
      </c>
      <c r="K405" s="10">
        <f t="shared" si="36"/>
        <v>12569.81</v>
      </c>
      <c r="L405" s="10">
        <f t="shared" si="37"/>
        <v>9961.57</v>
      </c>
      <c r="M405" s="11">
        <f t="shared" si="38"/>
        <v>0.39074174315525223</v>
      </c>
      <c r="N405" s="8" t="str">
        <f t="shared" si="39"/>
        <v>October</v>
      </c>
      <c r="O405" s="8" t="str">
        <f t="shared" si="40"/>
        <v>Q4</v>
      </c>
      <c r="P405" s="8" t="str">
        <f t="shared" si="41"/>
        <v>2025</v>
      </c>
    </row>
    <row r="406" spans="1:16" x14ac:dyDescent="0.25">
      <c r="A406" s="9" t="s">
        <v>171</v>
      </c>
      <c r="B406" s="8" t="s">
        <v>11</v>
      </c>
      <c r="C406" s="8" t="s">
        <v>17</v>
      </c>
      <c r="D406" s="8" t="s">
        <v>22</v>
      </c>
      <c r="E406" s="8" t="s">
        <v>25</v>
      </c>
      <c r="F406" s="10">
        <v>46445</v>
      </c>
      <c r="G406" s="10">
        <v>24644.42</v>
      </c>
      <c r="H406" s="10">
        <v>6409.02</v>
      </c>
      <c r="I406" s="8">
        <v>241</v>
      </c>
      <c r="J406" s="11">
        <v>0</v>
      </c>
      <c r="K406" s="10">
        <f t="shared" si="36"/>
        <v>21800.58</v>
      </c>
      <c r="L406" s="10">
        <f t="shared" si="37"/>
        <v>15391.560000000001</v>
      </c>
      <c r="M406" s="11">
        <f t="shared" si="38"/>
        <v>0.33139326084616216</v>
      </c>
      <c r="N406" s="8" t="str">
        <f t="shared" si="39"/>
        <v>October</v>
      </c>
      <c r="O406" s="8" t="str">
        <f t="shared" si="40"/>
        <v>Q4</v>
      </c>
      <c r="P406" s="8" t="str">
        <f t="shared" si="41"/>
        <v>2025</v>
      </c>
    </row>
    <row r="407" spans="1:16" x14ac:dyDescent="0.25">
      <c r="A407" s="9" t="s">
        <v>171</v>
      </c>
      <c r="B407" s="8" t="s">
        <v>11</v>
      </c>
      <c r="C407" s="8" t="s">
        <v>12</v>
      </c>
      <c r="D407" s="8" t="s">
        <v>13</v>
      </c>
      <c r="E407" s="8" t="s">
        <v>14</v>
      </c>
      <c r="F407" s="10">
        <v>13558</v>
      </c>
      <c r="G407" s="10">
        <v>8403.83</v>
      </c>
      <c r="H407" s="10">
        <v>2005.87</v>
      </c>
      <c r="I407" s="8">
        <v>185</v>
      </c>
      <c r="J407" s="11">
        <v>0</v>
      </c>
      <c r="K407" s="10">
        <f t="shared" si="36"/>
        <v>5154.17</v>
      </c>
      <c r="L407" s="10">
        <f t="shared" si="37"/>
        <v>3148.3</v>
      </c>
      <c r="M407" s="11">
        <f t="shared" si="38"/>
        <v>0.23220976545213159</v>
      </c>
      <c r="N407" s="8" t="str">
        <f t="shared" si="39"/>
        <v>October</v>
      </c>
      <c r="O407" s="8" t="str">
        <f t="shared" si="40"/>
        <v>Q4</v>
      </c>
      <c r="P407" s="8" t="str">
        <f t="shared" si="41"/>
        <v>2025</v>
      </c>
    </row>
    <row r="408" spans="1:16" x14ac:dyDescent="0.25">
      <c r="A408" s="9" t="s">
        <v>171</v>
      </c>
      <c r="B408" s="8" t="s">
        <v>21</v>
      </c>
      <c r="C408" s="8" t="s">
        <v>12</v>
      </c>
      <c r="D408" s="8" t="s">
        <v>22</v>
      </c>
      <c r="E408" s="8" t="s">
        <v>14</v>
      </c>
      <c r="F408" s="10">
        <v>46125</v>
      </c>
      <c r="G408" s="10">
        <v>21822.71</v>
      </c>
      <c r="H408" s="10">
        <v>6629.44</v>
      </c>
      <c r="I408" s="8">
        <v>194</v>
      </c>
      <c r="J408" s="11">
        <v>0</v>
      </c>
      <c r="K408" s="10">
        <f t="shared" si="36"/>
        <v>24302.29</v>
      </c>
      <c r="L408" s="10">
        <f t="shared" si="37"/>
        <v>17672.850000000002</v>
      </c>
      <c r="M408" s="11">
        <f t="shared" si="38"/>
        <v>0.38315121951219516</v>
      </c>
      <c r="N408" s="8" t="str">
        <f t="shared" si="39"/>
        <v>October</v>
      </c>
      <c r="O408" s="8" t="str">
        <f t="shared" si="40"/>
        <v>Q4</v>
      </c>
      <c r="P408" s="8" t="str">
        <f t="shared" si="41"/>
        <v>2025</v>
      </c>
    </row>
    <row r="409" spans="1:16" x14ac:dyDescent="0.25">
      <c r="A409" s="9" t="s">
        <v>171</v>
      </c>
      <c r="B409" s="8" t="s">
        <v>16</v>
      </c>
      <c r="C409" s="8" t="s">
        <v>17</v>
      </c>
      <c r="D409" s="8" t="s">
        <v>18</v>
      </c>
      <c r="E409" s="8" t="s">
        <v>14</v>
      </c>
      <c r="F409" s="10">
        <v>27567</v>
      </c>
      <c r="G409" s="10">
        <v>18807.82</v>
      </c>
      <c r="H409" s="10">
        <v>3741.89</v>
      </c>
      <c r="I409" s="8">
        <v>80</v>
      </c>
      <c r="J409" s="11">
        <v>0</v>
      </c>
      <c r="K409" s="10">
        <f t="shared" si="36"/>
        <v>8759.18</v>
      </c>
      <c r="L409" s="10">
        <f t="shared" si="37"/>
        <v>5017.2900000000009</v>
      </c>
      <c r="M409" s="11">
        <f t="shared" si="38"/>
        <v>0.18200348242463818</v>
      </c>
      <c r="N409" s="8" t="str">
        <f t="shared" si="39"/>
        <v>October</v>
      </c>
      <c r="O409" s="8" t="str">
        <f t="shared" si="40"/>
        <v>Q4</v>
      </c>
      <c r="P409" s="8" t="str">
        <f t="shared" si="41"/>
        <v>2025</v>
      </c>
    </row>
    <row r="410" spans="1:16" x14ac:dyDescent="0.25">
      <c r="A410" s="9" t="s">
        <v>139</v>
      </c>
      <c r="B410" s="8" t="s">
        <v>24</v>
      </c>
      <c r="C410" s="8" t="s">
        <v>17</v>
      </c>
      <c r="D410" s="8" t="s">
        <v>18</v>
      </c>
      <c r="E410" s="8" t="s">
        <v>19</v>
      </c>
      <c r="F410" s="10">
        <v>34419</v>
      </c>
      <c r="G410" s="10">
        <v>22521.73</v>
      </c>
      <c r="H410" s="10">
        <v>7003.81</v>
      </c>
      <c r="I410" s="8">
        <v>339</v>
      </c>
      <c r="J410" s="11">
        <v>0.15</v>
      </c>
      <c r="K410" s="10">
        <f t="shared" si="36"/>
        <v>11897.27</v>
      </c>
      <c r="L410" s="10">
        <f t="shared" si="37"/>
        <v>4893.46</v>
      </c>
      <c r="M410" s="11">
        <f t="shared" si="38"/>
        <v>0.14217321828060084</v>
      </c>
      <c r="N410" s="8" t="str">
        <f t="shared" si="39"/>
        <v>October</v>
      </c>
      <c r="O410" s="8" t="str">
        <f t="shared" si="40"/>
        <v>Q4</v>
      </c>
      <c r="P410" s="8" t="str">
        <f t="shared" si="41"/>
        <v>2025</v>
      </c>
    </row>
    <row r="411" spans="1:16" x14ac:dyDescent="0.25">
      <c r="A411" s="9" t="s">
        <v>139</v>
      </c>
      <c r="B411" s="8" t="s">
        <v>21</v>
      </c>
      <c r="C411" s="8" t="s">
        <v>12</v>
      </c>
      <c r="D411" s="8" t="s">
        <v>18</v>
      </c>
      <c r="E411" s="8" t="s">
        <v>14</v>
      </c>
      <c r="F411" s="10">
        <v>42855</v>
      </c>
      <c r="G411" s="10">
        <v>22210.16</v>
      </c>
      <c r="H411" s="10">
        <v>3736.52</v>
      </c>
      <c r="I411" s="8">
        <v>255</v>
      </c>
      <c r="J411" s="11">
        <v>0.02</v>
      </c>
      <c r="K411" s="10">
        <f t="shared" si="36"/>
        <v>20644.84</v>
      </c>
      <c r="L411" s="10">
        <f t="shared" si="37"/>
        <v>16908.32</v>
      </c>
      <c r="M411" s="11">
        <f t="shared" si="38"/>
        <v>0.39454719402636795</v>
      </c>
      <c r="N411" s="8" t="str">
        <f t="shared" si="39"/>
        <v>October</v>
      </c>
      <c r="O411" s="8" t="str">
        <f t="shared" si="40"/>
        <v>Q4</v>
      </c>
      <c r="P411" s="8" t="str">
        <f t="shared" si="41"/>
        <v>2025</v>
      </c>
    </row>
    <row r="412" spans="1:16" x14ac:dyDescent="0.25">
      <c r="A412" s="9" t="s">
        <v>139</v>
      </c>
      <c r="B412" s="8" t="s">
        <v>24</v>
      </c>
      <c r="C412" s="8" t="s">
        <v>17</v>
      </c>
      <c r="D412" s="8" t="s">
        <v>18</v>
      </c>
      <c r="E412" s="8" t="s">
        <v>19</v>
      </c>
      <c r="F412" s="10">
        <v>31550</v>
      </c>
      <c r="G412" s="10">
        <v>21477.98</v>
      </c>
      <c r="H412" s="10">
        <v>3463.76</v>
      </c>
      <c r="I412" s="8">
        <v>28</v>
      </c>
      <c r="J412" s="11">
        <v>0.15</v>
      </c>
      <c r="K412" s="10">
        <f t="shared" si="36"/>
        <v>10072.02</v>
      </c>
      <c r="L412" s="10">
        <f t="shared" si="37"/>
        <v>6608.26</v>
      </c>
      <c r="M412" s="11">
        <f t="shared" si="38"/>
        <v>0.20945356576862123</v>
      </c>
      <c r="N412" s="8" t="str">
        <f t="shared" si="39"/>
        <v>October</v>
      </c>
      <c r="O412" s="8" t="str">
        <f t="shared" si="40"/>
        <v>Q4</v>
      </c>
      <c r="P412" s="8" t="str">
        <f t="shared" si="41"/>
        <v>2025</v>
      </c>
    </row>
    <row r="413" spans="1:16" x14ac:dyDescent="0.25">
      <c r="A413" s="9" t="s">
        <v>113</v>
      </c>
      <c r="B413" s="8" t="s">
        <v>24</v>
      </c>
      <c r="C413" s="8" t="s">
        <v>12</v>
      </c>
      <c r="D413" s="8" t="s">
        <v>13</v>
      </c>
      <c r="E413" s="8" t="s">
        <v>19</v>
      </c>
      <c r="F413" s="10">
        <v>24605</v>
      </c>
      <c r="G413" s="10">
        <v>15788.58</v>
      </c>
      <c r="H413" s="10">
        <v>3430.02</v>
      </c>
      <c r="I413" s="8">
        <v>138</v>
      </c>
      <c r="J413" s="11">
        <v>0.1</v>
      </c>
      <c r="K413" s="10">
        <f t="shared" si="36"/>
        <v>8816.42</v>
      </c>
      <c r="L413" s="10">
        <f t="shared" si="37"/>
        <v>5386.4</v>
      </c>
      <c r="M413" s="11">
        <f t="shared" si="38"/>
        <v>0.21891485470432837</v>
      </c>
      <c r="N413" s="8" t="str">
        <f t="shared" si="39"/>
        <v>October</v>
      </c>
      <c r="O413" s="8" t="str">
        <f t="shared" si="40"/>
        <v>Q4</v>
      </c>
      <c r="P413" s="8" t="str">
        <f t="shared" si="41"/>
        <v>2025</v>
      </c>
    </row>
    <row r="414" spans="1:16" x14ac:dyDescent="0.25">
      <c r="A414" s="9" t="s">
        <v>113</v>
      </c>
      <c r="B414" s="8" t="s">
        <v>11</v>
      </c>
      <c r="C414" s="8" t="s">
        <v>17</v>
      </c>
      <c r="D414" s="8" t="s">
        <v>27</v>
      </c>
      <c r="E414" s="8" t="s">
        <v>19</v>
      </c>
      <c r="F414" s="10">
        <v>41132</v>
      </c>
      <c r="G414" s="10">
        <v>22825.3</v>
      </c>
      <c r="H414" s="10">
        <v>4232.1499999999996</v>
      </c>
      <c r="I414" s="8">
        <v>467</v>
      </c>
      <c r="J414" s="11">
        <v>0.05</v>
      </c>
      <c r="K414" s="10">
        <f t="shared" si="36"/>
        <v>18306.7</v>
      </c>
      <c r="L414" s="10">
        <f t="shared" si="37"/>
        <v>14074.550000000001</v>
      </c>
      <c r="M414" s="11">
        <f t="shared" si="38"/>
        <v>0.34218005445881555</v>
      </c>
      <c r="N414" s="8" t="str">
        <f t="shared" si="39"/>
        <v>October</v>
      </c>
      <c r="O414" s="8" t="str">
        <f t="shared" si="40"/>
        <v>Q4</v>
      </c>
      <c r="P414" s="8" t="str">
        <f t="shared" si="41"/>
        <v>2025</v>
      </c>
    </row>
    <row r="415" spans="1:16" x14ac:dyDescent="0.25">
      <c r="A415" s="9" t="s">
        <v>20</v>
      </c>
      <c r="B415" s="8" t="s">
        <v>21</v>
      </c>
      <c r="C415" s="8" t="s">
        <v>17</v>
      </c>
      <c r="D415" s="8" t="s">
        <v>22</v>
      </c>
      <c r="E415" s="8" t="s">
        <v>14</v>
      </c>
      <c r="F415" s="10">
        <v>23231</v>
      </c>
      <c r="G415" s="10">
        <v>16095.11</v>
      </c>
      <c r="H415" s="10">
        <v>1879.62</v>
      </c>
      <c r="I415" s="8">
        <v>422</v>
      </c>
      <c r="J415" s="11">
        <v>0.02</v>
      </c>
      <c r="K415" s="10">
        <f t="shared" si="36"/>
        <v>7135.8899999999994</v>
      </c>
      <c r="L415" s="10">
        <f t="shared" si="37"/>
        <v>5256.2699999999995</v>
      </c>
      <c r="M415" s="11">
        <f t="shared" si="38"/>
        <v>0.22626103051956437</v>
      </c>
      <c r="N415" s="8" t="str">
        <f t="shared" si="39"/>
        <v>October</v>
      </c>
      <c r="O415" s="8" t="str">
        <f t="shared" si="40"/>
        <v>Q4</v>
      </c>
      <c r="P415" s="8" t="str">
        <f t="shared" si="41"/>
        <v>2025</v>
      </c>
    </row>
    <row r="416" spans="1:16" x14ac:dyDescent="0.25">
      <c r="A416" s="9" t="s">
        <v>20</v>
      </c>
      <c r="B416" s="8" t="s">
        <v>16</v>
      </c>
      <c r="C416" s="8" t="s">
        <v>12</v>
      </c>
      <c r="D416" s="8" t="s">
        <v>22</v>
      </c>
      <c r="E416" s="8" t="s">
        <v>25</v>
      </c>
      <c r="F416" s="10">
        <v>33103</v>
      </c>
      <c r="G416" s="10">
        <v>17929.05</v>
      </c>
      <c r="H416" s="10">
        <v>5526.34</v>
      </c>
      <c r="I416" s="8">
        <v>322</v>
      </c>
      <c r="J416" s="11">
        <v>0</v>
      </c>
      <c r="K416" s="10">
        <f t="shared" si="36"/>
        <v>15173.95</v>
      </c>
      <c r="L416" s="10">
        <f t="shared" si="37"/>
        <v>9647.61</v>
      </c>
      <c r="M416" s="11">
        <f t="shared" si="38"/>
        <v>0.29144216536265599</v>
      </c>
      <c r="N416" s="8" t="str">
        <f t="shared" si="39"/>
        <v>October</v>
      </c>
      <c r="O416" s="8" t="str">
        <f t="shared" si="40"/>
        <v>Q4</v>
      </c>
      <c r="P416" s="8" t="str">
        <f t="shared" si="41"/>
        <v>2025</v>
      </c>
    </row>
    <row r="417" spans="1:16" x14ac:dyDescent="0.25">
      <c r="A417" s="9" t="s">
        <v>20</v>
      </c>
      <c r="B417" s="8" t="s">
        <v>16</v>
      </c>
      <c r="C417" s="8" t="s">
        <v>12</v>
      </c>
      <c r="D417" s="8" t="s">
        <v>22</v>
      </c>
      <c r="E417" s="8" t="s">
        <v>14</v>
      </c>
      <c r="F417" s="10">
        <v>48331</v>
      </c>
      <c r="G417" s="10">
        <v>33405.019999999997</v>
      </c>
      <c r="H417" s="10">
        <v>5204.99</v>
      </c>
      <c r="I417" s="8">
        <v>68</v>
      </c>
      <c r="J417" s="11">
        <v>0.15</v>
      </c>
      <c r="K417" s="10">
        <f t="shared" si="36"/>
        <v>14925.980000000003</v>
      </c>
      <c r="L417" s="10">
        <f t="shared" si="37"/>
        <v>9720.9900000000034</v>
      </c>
      <c r="M417" s="11">
        <f t="shared" si="38"/>
        <v>0.20113364093439001</v>
      </c>
      <c r="N417" s="8" t="str">
        <f t="shared" si="39"/>
        <v>October</v>
      </c>
      <c r="O417" s="8" t="str">
        <f t="shared" si="40"/>
        <v>Q4</v>
      </c>
      <c r="P417" s="8" t="str">
        <f t="shared" si="41"/>
        <v>2025</v>
      </c>
    </row>
    <row r="418" spans="1:16" x14ac:dyDescent="0.25">
      <c r="A418" s="9" t="s">
        <v>86</v>
      </c>
      <c r="B418" s="8" t="s">
        <v>24</v>
      </c>
      <c r="C418" s="8" t="s">
        <v>17</v>
      </c>
      <c r="D418" s="8" t="s">
        <v>18</v>
      </c>
      <c r="E418" s="8" t="s">
        <v>19</v>
      </c>
      <c r="F418" s="10">
        <v>22589</v>
      </c>
      <c r="G418" s="10">
        <v>12349.21</v>
      </c>
      <c r="H418" s="10">
        <v>2583.4899999999998</v>
      </c>
      <c r="I418" s="8">
        <v>488</v>
      </c>
      <c r="J418" s="11">
        <v>0</v>
      </c>
      <c r="K418" s="10">
        <f t="shared" si="36"/>
        <v>10239.790000000001</v>
      </c>
      <c r="L418" s="10">
        <f t="shared" si="37"/>
        <v>7656.3000000000011</v>
      </c>
      <c r="M418" s="11">
        <f t="shared" si="38"/>
        <v>0.33893930674221973</v>
      </c>
      <c r="N418" s="8" t="str">
        <f t="shared" si="39"/>
        <v>October</v>
      </c>
      <c r="O418" s="8" t="str">
        <f t="shared" si="40"/>
        <v>Q4</v>
      </c>
      <c r="P418" s="8" t="str">
        <f t="shared" si="41"/>
        <v>2025</v>
      </c>
    </row>
    <row r="419" spans="1:16" x14ac:dyDescent="0.25">
      <c r="A419" s="9" t="s">
        <v>86</v>
      </c>
      <c r="B419" s="8" t="s">
        <v>24</v>
      </c>
      <c r="C419" s="8" t="s">
        <v>17</v>
      </c>
      <c r="D419" s="8" t="s">
        <v>27</v>
      </c>
      <c r="E419" s="8" t="s">
        <v>14</v>
      </c>
      <c r="F419" s="10">
        <v>12146</v>
      </c>
      <c r="G419" s="10">
        <v>7112.72</v>
      </c>
      <c r="H419" s="10">
        <v>1348.41</v>
      </c>
      <c r="I419" s="8">
        <v>324</v>
      </c>
      <c r="J419" s="11">
        <v>0</v>
      </c>
      <c r="K419" s="10">
        <f t="shared" si="36"/>
        <v>5033.28</v>
      </c>
      <c r="L419" s="10">
        <f t="shared" si="37"/>
        <v>3684.87</v>
      </c>
      <c r="M419" s="11">
        <f t="shared" si="38"/>
        <v>0.30338136011855754</v>
      </c>
      <c r="N419" s="8" t="str">
        <f t="shared" si="39"/>
        <v>October</v>
      </c>
      <c r="O419" s="8" t="str">
        <f t="shared" si="40"/>
        <v>Q4</v>
      </c>
      <c r="P419" s="8" t="str">
        <f t="shared" si="41"/>
        <v>2025</v>
      </c>
    </row>
    <row r="420" spans="1:16" x14ac:dyDescent="0.25">
      <c r="A420" s="9" t="s">
        <v>86</v>
      </c>
      <c r="B420" s="8" t="s">
        <v>11</v>
      </c>
      <c r="C420" s="8" t="s">
        <v>17</v>
      </c>
      <c r="D420" s="8" t="s">
        <v>18</v>
      </c>
      <c r="E420" s="8" t="s">
        <v>19</v>
      </c>
      <c r="F420" s="10">
        <v>19823</v>
      </c>
      <c r="G420" s="10">
        <v>12009.43</v>
      </c>
      <c r="H420" s="10">
        <v>2821</v>
      </c>
      <c r="I420" s="8">
        <v>14</v>
      </c>
      <c r="J420" s="11">
        <v>0.05</v>
      </c>
      <c r="K420" s="10">
        <f t="shared" si="36"/>
        <v>7813.57</v>
      </c>
      <c r="L420" s="10">
        <f t="shared" si="37"/>
        <v>4992.57</v>
      </c>
      <c r="M420" s="11">
        <f t="shared" si="38"/>
        <v>0.25185743832921353</v>
      </c>
      <c r="N420" s="8" t="str">
        <f t="shared" si="39"/>
        <v>October</v>
      </c>
      <c r="O420" s="8" t="str">
        <f t="shared" si="40"/>
        <v>Q4</v>
      </c>
      <c r="P420" s="8" t="str">
        <f t="shared" si="41"/>
        <v>2025</v>
      </c>
    </row>
    <row r="421" spans="1:16" x14ac:dyDescent="0.25">
      <c r="A421" s="9" t="s">
        <v>191</v>
      </c>
      <c r="B421" s="8" t="s">
        <v>16</v>
      </c>
      <c r="C421" s="8" t="s">
        <v>12</v>
      </c>
      <c r="D421" s="8" t="s">
        <v>13</v>
      </c>
      <c r="E421" s="8" t="s">
        <v>19</v>
      </c>
      <c r="F421" s="10">
        <v>7200</v>
      </c>
      <c r="G421" s="10">
        <v>4204.3100000000004</v>
      </c>
      <c r="H421" s="10">
        <v>1253.4000000000001</v>
      </c>
      <c r="I421" s="8">
        <v>456</v>
      </c>
      <c r="J421" s="11">
        <v>0</v>
      </c>
      <c r="K421" s="10">
        <f t="shared" si="36"/>
        <v>2995.6899999999996</v>
      </c>
      <c r="L421" s="10">
        <f t="shared" si="37"/>
        <v>1742.2899999999995</v>
      </c>
      <c r="M421" s="11">
        <f t="shared" si="38"/>
        <v>0.24198472222222214</v>
      </c>
      <c r="N421" s="8" t="str">
        <f t="shared" si="39"/>
        <v>November</v>
      </c>
      <c r="O421" s="8" t="str">
        <f t="shared" si="40"/>
        <v>Q4</v>
      </c>
      <c r="P421" s="8" t="str">
        <f t="shared" si="41"/>
        <v>2025</v>
      </c>
    </row>
    <row r="422" spans="1:16" x14ac:dyDescent="0.25">
      <c r="A422" s="9" t="s">
        <v>126</v>
      </c>
      <c r="B422" s="8" t="s">
        <v>24</v>
      </c>
      <c r="C422" s="8" t="s">
        <v>12</v>
      </c>
      <c r="D422" s="8" t="s">
        <v>27</v>
      </c>
      <c r="E422" s="8" t="s">
        <v>25</v>
      </c>
      <c r="F422" s="10">
        <v>5185</v>
      </c>
      <c r="G422" s="10">
        <v>2764.55</v>
      </c>
      <c r="H422" s="10">
        <v>1129.1099999999999</v>
      </c>
      <c r="I422" s="8">
        <v>76</v>
      </c>
      <c r="J422" s="11">
        <v>0.15</v>
      </c>
      <c r="K422" s="10">
        <f t="shared" si="36"/>
        <v>2420.4499999999998</v>
      </c>
      <c r="L422" s="10">
        <f t="shared" si="37"/>
        <v>1291.3399999999999</v>
      </c>
      <c r="M422" s="11">
        <f t="shared" si="38"/>
        <v>0.24905303760848599</v>
      </c>
      <c r="N422" s="8" t="str">
        <f t="shared" si="39"/>
        <v>November</v>
      </c>
      <c r="O422" s="8" t="str">
        <f t="shared" si="40"/>
        <v>Q4</v>
      </c>
      <c r="P422" s="8" t="str">
        <f t="shared" si="41"/>
        <v>2025</v>
      </c>
    </row>
    <row r="423" spans="1:16" x14ac:dyDescent="0.25">
      <c r="A423" s="9" t="s">
        <v>192</v>
      </c>
      <c r="B423" s="8" t="s">
        <v>16</v>
      </c>
      <c r="C423" s="8" t="s">
        <v>17</v>
      </c>
      <c r="D423" s="8" t="s">
        <v>22</v>
      </c>
      <c r="E423" s="8" t="s">
        <v>19</v>
      </c>
      <c r="F423" s="10">
        <v>49075</v>
      </c>
      <c r="G423" s="10">
        <v>34132.39</v>
      </c>
      <c r="H423" s="10">
        <v>5553.65</v>
      </c>
      <c r="I423" s="8">
        <v>458</v>
      </c>
      <c r="J423" s="11">
        <v>0.02</v>
      </c>
      <c r="K423" s="10">
        <f t="shared" si="36"/>
        <v>14942.61</v>
      </c>
      <c r="L423" s="10">
        <f t="shared" si="37"/>
        <v>9388.9600000000009</v>
      </c>
      <c r="M423" s="11">
        <f t="shared" si="38"/>
        <v>0.1913185939887927</v>
      </c>
      <c r="N423" s="8" t="str">
        <f t="shared" si="39"/>
        <v>November</v>
      </c>
      <c r="O423" s="8" t="str">
        <f t="shared" si="40"/>
        <v>Q4</v>
      </c>
      <c r="P423" s="8" t="str">
        <f t="shared" si="41"/>
        <v>2025</v>
      </c>
    </row>
    <row r="424" spans="1:16" x14ac:dyDescent="0.25">
      <c r="A424" s="9" t="s">
        <v>192</v>
      </c>
      <c r="B424" s="8" t="s">
        <v>11</v>
      </c>
      <c r="C424" s="8" t="s">
        <v>12</v>
      </c>
      <c r="D424" s="8" t="s">
        <v>18</v>
      </c>
      <c r="E424" s="8" t="s">
        <v>25</v>
      </c>
      <c r="F424" s="10">
        <v>26261</v>
      </c>
      <c r="G424" s="10">
        <v>18622.080000000002</v>
      </c>
      <c r="H424" s="10">
        <v>2146.25</v>
      </c>
      <c r="I424" s="8">
        <v>221</v>
      </c>
      <c r="J424" s="11">
        <v>0.1</v>
      </c>
      <c r="K424" s="10">
        <f t="shared" si="36"/>
        <v>7638.9199999999983</v>
      </c>
      <c r="L424" s="10">
        <f t="shared" si="37"/>
        <v>5492.6699999999983</v>
      </c>
      <c r="M424" s="11">
        <f t="shared" si="38"/>
        <v>0.20915692471726127</v>
      </c>
      <c r="N424" s="8" t="str">
        <f t="shared" si="39"/>
        <v>November</v>
      </c>
      <c r="O424" s="8" t="str">
        <f t="shared" si="40"/>
        <v>Q4</v>
      </c>
      <c r="P424" s="8" t="str">
        <f t="shared" si="41"/>
        <v>2025</v>
      </c>
    </row>
    <row r="425" spans="1:16" x14ac:dyDescent="0.25">
      <c r="A425" s="9" t="s">
        <v>253</v>
      </c>
      <c r="B425" s="8" t="s">
        <v>21</v>
      </c>
      <c r="C425" s="8" t="s">
        <v>17</v>
      </c>
      <c r="D425" s="8" t="s">
        <v>22</v>
      </c>
      <c r="E425" s="8" t="s">
        <v>19</v>
      </c>
      <c r="F425" s="10">
        <v>31482</v>
      </c>
      <c r="G425" s="10">
        <v>20405.34</v>
      </c>
      <c r="H425" s="10">
        <v>5518.98</v>
      </c>
      <c r="I425" s="8">
        <v>379</v>
      </c>
      <c r="J425" s="11">
        <v>0</v>
      </c>
      <c r="K425" s="10">
        <f t="shared" si="36"/>
        <v>11076.66</v>
      </c>
      <c r="L425" s="10">
        <f t="shared" si="37"/>
        <v>5557.68</v>
      </c>
      <c r="M425" s="11">
        <f t="shared" si="38"/>
        <v>0.17653516295025731</v>
      </c>
      <c r="N425" s="8" t="str">
        <f t="shared" si="39"/>
        <v>November</v>
      </c>
      <c r="O425" s="8" t="str">
        <f t="shared" si="40"/>
        <v>Q4</v>
      </c>
      <c r="P425" s="8" t="str">
        <f t="shared" si="41"/>
        <v>2025</v>
      </c>
    </row>
    <row r="426" spans="1:16" x14ac:dyDescent="0.25">
      <c r="A426" s="9" t="s">
        <v>39</v>
      </c>
      <c r="B426" s="8" t="s">
        <v>24</v>
      </c>
      <c r="C426" s="8" t="s">
        <v>17</v>
      </c>
      <c r="D426" s="8" t="s">
        <v>22</v>
      </c>
      <c r="E426" s="8" t="s">
        <v>19</v>
      </c>
      <c r="F426" s="10">
        <v>32730</v>
      </c>
      <c r="G426" s="10">
        <v>24197.58</v>
      </c>
      <c r="H426" s="10">
        <v>6874.87</v>
      </c>
      <c r="I426" s="8">
        <v>396</v>
      </c>
      <c r="J426" s="11">
        <v>0.02</v>
      </c>
      <c r="K426" s="10">
        <f t="shared" si="36"/>
        <v>8532.4199999999983</v>
      </c>
      <c r="L426" s="10">
        <f t="shared" si="37"/>
        <v>1657.5499999999984</v>
      </c>
      <c r="M426" s="11">
        <f t="shared" si="38"/>
        <v>5.0643140849373616E-2</v>
      </c>
      <c r="N426" s="8" t="str">
        <f t="shared" si="39"/>
        <v>November</v>
      </c>
      <c r="O426" s="8" t="str">
        <f t="shared" si="40"/>
        <v>Q4</v>
      </c>
      <c r="P426" s="8" t="str">
        <f t="shared" si="41"/>
        <v>2025</v>
      </c>
    </row>
    <row r="427" spans="1:16" x14ac:dyDescent="0.25">
      <c r="A427" s="9" t="s">
        <v>39</v>
      </c>
      <c r="B427" s="8" t="s">
        <v>16</v>
      </c>
      <c r="C427" s="8" t="s">
        <v>17</v>
      </c>
      <c r="D427" s="8" t="s">
        <v>13</v>
      </c>
      <c r="E427" s="8" t="s">
        <v>14</v>
      </c>
      <c r="F427" s="10">
        <v>38392</v>
      </c>
      <c r="G427" s="10">
        <v>19449.16</v>
      </c>
      <c r="H427" s="10">
        <v>5176.97</v>
      </c>
      <c r="I427" s="8">
        <v>340</v>
      </c>
      <c r="J427" s="11">
        <v>0</v>
      </c>
      <c r="K427" s="10">
        <f t="shared" si="36"/>
        <v>18942.84</v>
      </c>
      <c r="L427" s="10">
        <f t="shared" si="37"/>
        <v>13765.869999999999</v>
      </c>
      <c r="M427" s="11">
        <f t="shared" si="38"/>
        <v>0.35856089810377162</v>
      </c>
      <c r="N427" s="8" t="str">
        <f t="shared" si="39"/>
        <v>November</v>
      </c>
      <c r="O427" s="8" t="str">
        <f t="shared" si="40"/>
        <v>Q4</v>
      </c>
      <c r="P427" s="8" t="str">
        <f t="shared" si="41"/>
        <v>2025</v>
      </c>
    </row>
    <row r="428" spans="1:16" x14ac:dyDescent="0.25">
      <c r="A428" s="9" t="s">
        <v>179</v>
      </c>
      <c r="B428" s="8" t="s">
        <v>16</v>
      </c>
      <c r="C428" s="8" t="s">
        <v>17</v>
      </c>
      <c r="D428" s="8" t="s">
        <v>13</v>
      </c>
      <c r="E428" s="8" t="s">
        <v>25</v>
      </c>
      <c r="F428" s="10">
        <v>35907</v>
      </c>
      <c r="G428" s="10">
        <v>25560.23</v>
      </c>
      <c r="H428" s="10">
        <v>6571.6</v>
      </c>
      <c r="I428" s="8">
        <v>41</v>
      </c>
      <c r="J428" s="11">
        <v>0.02</v>
      </c>
      <c r="K428" s="10">
        <f t="shared" si="36"/>
        <v>10346.77</v>
      </c>
      <c r="L428" s="10">
        <f t="shared" si="37"/>
        <v>3775.17</v>
      </c>
      <c r="M428" s="11">
        <f t="shared" si="38"/>
        <v>0.1051374383824881</v>
      </c>
      <c r="N428" s="8" t="str">
        <f t="shared" si="39"/>
        <v>November</v>
      </c>
      <c r="O428" s="8" t="str">
        <f t="shared" si="40"/>
        <v>Q4</v>
      </c>
      <c r="P428" s="8" t="str">
        <f t="shared" si="41"/>
        <v>2025</v>
      </c>
    </row>
    <row r="429" spans="1:16" x14ac:dyDescent="0.25">
      <c r="A429" s="9" t="s">
        <v>186</v>
      </c>
      <c r="B429" s="8" t="s">
        <v>24</v>
      </c>
      <c r="C429" s="8" t="s">
        <v>17</v>
      </c>
      <c r="D429" s="8" t="s">
        <v>13</v>
      </c>
      <c r="E429" s="8" t="s">
        <v>25</v>
      </c>
      <c r="F429" s="10">
        <v>19473</v>
      </c>
      <c r="G429" s="10">
        <v>10042.98</v>
      </c>
      <c r="H429" s="10">
        <v>1921.98</v>
      </c>
      <c r="I429" s="8">
        <v>88</v>
      </c>
      <c r="J429" s="11">
        <v>0.1</v>
      </c>
      <c r="K429" s="10">
        <f t="shared" si="36"/>
        <v>9430.02</v>
      </c>
      <c r="L429" s="10">
        <f t="shared" si="37"/>
        <v>7508.0400000000009</v>
      </c>
      <c r="M429" s="11">
        <f t="shared" si="38"/>
        <v>0.38556154675704829</v>
      </c>
      <c r="N429" s="8" t="str">
        <f t="shared" si="39"/>
        <v>November</v>
      </c>
      <c r="O429" s="8" t="str">
        <f t="shared" si="40"/>
        <v>Q4</v>
      </c>
      <c r="P429" s="8" t="str">
        <f t="shared" si="41"/>
        <v>2025</v>
      </c>
    </row>
    <row r="430" spans="1:16" x14ac:dyDescent="0.25">
      <c r="A430" s="9" t="s">
        <v>186</v>
      </c>
      <c r="B430" s="8" t="s">
        <v>21</v>
      </c>
      <c r="C430" s="8" t="s">
        <v>17</v>
      </c>
      <c r="D430" s="8" t="s">
        <v>18</v>
      </c>
      <c r="E430" s="8" t="s">
        <v>19</v>
      </c>
      <c r="F430" s="10">
        <v>44033</v>
      </c>
      <c r="G430" s="10">
        <v>25055.26</v>
      </c>
      <c r="H430" s="10">
        <v>8291.31</v>
      </c>
      <c r="I430" s="8">
        <v>25</v>
      </c>
      <c r="J430" s="11">
        <v>0.05</v>
      </c>
      <c r="K430" s="10">
        <f t="shared" si="36"/>
        <v>18977.740000000002</v>
      </c>
      <c r="L430" s="10">
        <f t="shared" si="37"/>
        <v>10686.430000000002</v>
      </c>
      <c r="M430" s="11">
        <f t="shared" si="38"/>
        <v>0.24269139054799815</v>
      </c>
      <c r="N430" s="8" t="str">
        <f t="shared" si="39"/>
        <v>November</v>
      </c>
      <c r="O430" s="8" t="str">
        <f t="shared" si="40"/>
        <v>Q4</v>
      </c>
      <c r="P430" s="8" t="str">
        <f t="shared" si="41"/>
        <v>2025</v>
      </c>
    </row>
    <row r="431" spans="1:16" x14ac:dyDescent="0.25">
      <c r="A431" s="9" t="s">
        <v>186</v>
      </c>
      <c r="B431" s="8" t="s">
        <v>16</v>
      </c>
      <c r="C431" s="8" t="s">
        <v>17</v>
      </c>
      <c r="D431" s="8" t="s">
        <v>27</v>
      </c>
      <c r="E431" s="8" t="s">
        <v>25</v>
      </c>
      <c r="F431" s="10">
        <v>17931</v>
      </c>
      <c r="G431" s="10">
        <v>10487.35</v>
      </c>
      <c r="H431" s="10">
        <v>2512.8000000000002</v>
      </c>
      <c r="I431" s="8">
        <v>12</v>
      </c>
      <c r="J431" s="11">
        <v>0.02</v>
      </c>
      <c r="K431" s="10">
        <f t="shared" si="36"/>
        <v>7443.65</v>
      </c>
      <c r="L431" s="10">
        <f t="shared" si="37"/>
        <v>4930.8499999999995</v>
      </c>
      <c r="M431" s="11">
        <f t="shared" si="38"/>
        <v>0.27499024036584685</v>
      </c>
      <c r="N431" s="8" t="str">
        <f t="shared" si="39"/>
        <v>November</v>
      </c>
      <c r="O431" s="8" t="str">
        <f t="shared" si="40"/>
        <v>Q4</v>
      </c>
      <c r="P431" s="8" t="str">
        <f t="shared" si="41"/>
        <v>2025</v>
      </c>
    </row>
    <row r="432" spans="1:16" x14ac:dyDescent="0.25">
      <c r="A432" s="9" t="s">
        <v>262</v>
      </c>
      <c r="B432" s="8" t="s">
        <v>21</v>
      </c>
      <c r="C432" s="8" t="s">
        <v>12</v>
      </c>
      <c r="D432" s="8" t="s">
        <v>22</v>
      </c>
      <c r="E432" s="8" t="s">
        <v>25</v>
      </c>
      <c r="F432" s="10">
        <v>49271</v>
      </c>
      <c r="G432" s="10">
        <v>33102.61</v>
      </c>
      <c r="H432" s="10">
        <v>9907.2999999999993</v>
      </c>
      <c r="I432" s="8">
        <v>390</v>
      </c>
      <c r="J432" s="11">
        <v>0.15</v>
      </c>
      <c r="K432" s="10">
        <f t="shared" si="36"/>
        <v>16168.39</v>
      </c>
      <c r="L432" s="10">
        <f t="shared" si="37"/>
        <v>6261.09</v>
      </c>
      <c r="M432" s="11">
        <f t="shared" si="38"/>
        <v>0.12707454689371031</v>
      </c>
      <c r="N432" s="8" t="str">
        <f t="shared" si="39"/>
        <v>November</v>
      </c>
      <c r="O432" s="8" t="str">
        <f t="shared" si="40"/>
        <v>Q4</v>
      </c>
      <c r="P432" s="8" t="str">
        <f t="shared" si="41"/>
        <v>2025</v>
      </c>
    </row>
    <row r="433" spans="1:16" x14ac:dyDescent="0.25">
      <c r="A433" s="9" t="s">
        <v>263</v>
      </c>
      <c r="B433" s="8" t="s">
        <v>16</v>
      </c>
      <c r="C433" s="8" t="s">
        <v>12</v>
      </c>
      <c r="D433" s="8" t="s">
        <v>22</v>
      </c>
      <c r="E433" s="8" t="s">
        <v>19</v>
      </c>
      <c r="F433" s="10">
        <v>34036</v>
      </c>
      <c r="G433" s="10">
        <v>23791</v>
      </c>
      <c r="H433" s="10">
        <v>7066.15</v>
      </c>
      <c r="I433" s="8">
        <v>370</v>
      </c>
      <c r="J433" s="11">
        <v>0.05</v>
      </c>
      <c r="K433" s="10">
        <f t="shared" si="36"/>
        <v>10245</v>
      </c>
      <c r="L433" s="10">
        <f t="shared" si="37"/>
        <v>3178.8500000000004</v>
      </c>
      <c r="M433" s="11">
        <f t="shared" si="38"/>
        <v>9.3396697614290758E-2</v>
      </c>
      <c r="N433" s="8" t="str">
        <f t="shared" si="39"/>
        <v>November</v>
      </c>
      <c r="O433" s="8" t="str">
        <f t="shared" si="40"/>
        <v>Q4</v>
      </c>
      <c r="P433" s="8" t="str">
        <f t="shared" si="41"/>
        <v>2025</v>
      </c>
    </row>
    <row r="434" spans="1:16" x14ac:dyDescent="0.25">
      <c r="A434" s="9" t="s">
        <v>263</v>
      </c>
      <c r="B434" s="8" t="s">
        <v>24</v>
      </c>
      <c r="C434" s="8" t="s">
        <v>12</v>
      </c>
      <c r="D434" s="8" t="s">
        <v>22</v>
      </c>
      <c r="E434" s="8" t="s">
        <v>19</v>
      </c>
      <c r="F434" s="10">
        <v>9574</v>
      </c>
      <c r="G434" s="10">
        <v>6893.62</v>
      </c>
      <c r="H434" s="10">
        <v>1191.8699999999999</v>
      </c>
      <c r="I434" s="8">
        <v>240</v>
      </c>
      <c r="J434" s="11">
        <v>0.05</v>
      </c>
      <c r="K434" s="10">
        <f t="shared" si="36"/>
        <v>2680.38</v>
      </c>
      <c r="L434" s="10">
        <f t="shared" si="37"/>
        <v>1488.5100000000002</v>
      </c>
      <c r="M434" s="11">
        <f t="shared" si="38"/>
        <v>0.15547420096093589</v>
      </c>
      <c r="N434" s="8" t="str">
        <f t="shared" si="39"/>
        <v>November</v>
      </c>
      <c r="O434" s="8" t="str">
        <f t="shared" si="40"/>
        <v>Q4</v>
      </c>
      <c r="P434" s="8" t="str">
        <f t="shared" si="41"/>
        <v>2025</v>
      </c>
    </row>
    <row r="435" spans="1:16" x14ac:dyDescent="0.25">
      <c r="A435" s="9" t="s">
        <v>263</v>
      </c>
      <c r="B435" s="8" t="s">
        <v>24</v>
      </c>
      <c r="C435" s="8" t="s">
        <v>17</v>
      </c>
      <c r="D435" s="8" t="s">
        <v>18</v>
      </c>
      <c r="E435" s="8" t="s">
        <v>25</v>
      </c>
      <c r="F435" s="10">
        <v>25671</v>
      </c>
      <c r="G435" s="10">
        <v>15343.61</v>
      </c>
      <c r="H435" s="10">
        <v>5595.01</v>
      </c>
      <c r="I435" s="8">
        <v>469</v>
      </c>
      <c r="J435" s="11">
        <v>0.15</v>
      </c>
      <c r="K435" s="10">
        <f t="shared" si="36"/>
        <v>10327.39</v>
      </c>
      <c r="L435" s="10">
        <f t="shared" si="37"/>
        <v>4732.3799999999992</v>
      </c>
      <c r="M435" s="11">
        <f t="shared" si="38"/>
        <v>0.18434731798527518</v>
      </c>
      <c r="N435" s="8" t="str">
        <f t="shared" si="39"/>
        <v>November</v>
      </c>
      <c r="O435" s="8" t="str">
        <f t="shared" si="40"/>
        <v>Q4</v>
      </c>
      <c r="P435" s="8" t="str">
        <f t="shared" si="41"/>
        <v>2025</v>
      </c>
    </row>
    <row r="436" spans="1:16" x14ac:dyDescent="0.25">
      <c r="A436" s="9" t="s">
        <v>108</v>
      </c>
      <c r="B436" s="8" t="s">
        <v>21</v>
      </c>
      <c r="C436" s="8" t="s">
        <v>12</v>
      </c>
      <c r="D436" s="8" t="s">
        <v>27</v>
      </c>
      <c r="E436" s="8" t="s">
        <v>19</v>
      </c>
      <c r="F436" s="10">
        <v>49852</v>
      </c>
      <c r="G436" s="10">
        <v>36206.449999999997</v>
      </c>
      <c r="H436" s="10">
        <v>10949.47</v>
      </c>
      <c r="I436" s="8">
        <v>392</v>
      </c>
      <c r="J436" s="11">
        <v>0</v>
      </c>
      <c r="K436" s="10">
        <f t="shared" si="36"/>
        <v>13645.550000000003</v>
      </c>
      <c r="L436" s="10">
        <f t="shared" si="37"/>
        <v>2696.0800000000036</v>
      </c>
      <c r="M436" s="11">
        <f t="shared" si="38"/>
        <v>5.4081681778063141E-2</v>
      </c>
      <c r="N436" s="8" t="str">
        <f t="shared" si="39"/>
        <v>November</v>
      </c>
      <c r="O436" s="8" t="str">
        <f t="shared" si="40"/>
        <v>Q4</v>
      </c>
      <c r="P436" s="8" t="str">
        <f t="shared" si="41"/>
        <v>2025</v>
      </c>
    </row>
    <row r="437" spans="1:16" x14ac:dyDescent="0.25">
      <c r="A437" s="9" t="s">
        <v>55</v>
      </c>
      <c r="B437" s="8" t="s">
        <v>24</v>
      </c>
      <c r="C437" s="8" t="s">
        <v>12</v>
      </c>
      <c r="D437" s="8" t="s">
        <v>13</v>
      </c>
      <c r="E437" s="8" t="s">
        <v>25</v>
      </c>
      <c r="F437" s="10">
        <v>32759</v>
      </c>
      <c r="G437" s="10">
        <v>22892.13</v>
      </c>
      <c r="H437" s="10">
        <v>2822.91</v>
      </c>
      <c r="I437" s="8">
        <v>180</v>
      </c>
      <c r="J437" s="11">
        <v>0.02</v>
      </c>
      <c r="K437" s="10">
        <f t="shared" si="36"/>
        <v>9866.869999999999</v>
      </c>
      <c r="L437" s="10">
        <f t="shared" si="37"/>
        <v>7043.9599999999991</v>
      </c>
      <c r="M437" s="11">
        <f t="shared" si="38"/>
        <v>0.21502365762080647</v>
      </c>
      <c r="N437" s="8" t="str">
        <f t="shared" si="39"/>
        <v>November</v>
      </c>
      <c r="O437" s="8" t="str">
        <f t="shared" si="40"/>
        <v>Q4</v>
      </c>
      <c r="P437" s="8" t="str">
        <f t="shared" si="41"/>
        <v>2025</v>
      </c>
    </row>
    <row r="438" spans="1:16" x14ac:dyDescent="0.25">
      <c r="A438" s="9" t="s">
        <v>55</v>
      </c>
      <c r="B438" s="8" t="s">
        <v>21</v>
      </c>
      <c r="C438" s="8" t="s">
        <v>17</v>
      </c>
      <c r="D438" s="8" t="s">
        <v>18</v>
      </c>
      <c r="E438" s="8" t="s">
        <v>19</v>
      </c>
      <c r="F438" s="10">
        <v>7009</v>
      </c>
      <c r="G438" s="10">
        <v>3346.99</v>
      </c>
      <c r="H438" s="10">
        <v>1081.26</v>
      </c>
      <c r="I438" s="8">
        <v>202</v>
      </c>
      <c r="J438" s="11">
        <v>0.1</v>
      </c>
      <c r="K438" s="10">
        <f t="shared" si="36"/>
        <v>3662.01</v>
      </c>
      <c r="L438" s="10">
        <f t="shared" si="37"/>
        <v>2580.75</v>
      </c>
      <c r="M438" s="11">
        <f t="shared" si="38"/>
        <v>0.36820516478812954</v>
      </c>
      <c r="N438" s="8" t="str">
        <f t="shared" si="39"/>
        <v>November</v>
      </c>
      <c r="O438" s="8" t="str">
        <f t="shared" si="40"/>
        <v>Q4</v>
      </c>
      <c r="P438" s="8" t="str">
        <f t="shared" si="41"/>
        <v>2025</v>
      </c>
    </row>
    <row r="439" spans="1:16" x14ac:dyDescent="0.25">
      <c r="A439" s="9" t="s">
        <v>29</v>
      </c>
      <c r="B439" s="8" t="s">
        <v>11</v>
      </c>
      <c r="C439" s="8" t="s">
        <v>12</v>
      </c>
      <c r="D439" s="8" t="s">
        <v>18</v>
      </c>
      <c r="E439" s="8" t="s">
        <v>14</v>
      </c>
      <c r="F439" s="10">
        <v>28909</v>
      </c>
      <c r="G439" s="10">
        <v>14419.7</v>
      </c>
      <c r="H439" s="10">
        <v>3750.59</v>
      </c>
      <c r="I439" s="8">
        <v>353</v>
      </c>
      <c r="J439" s="11">
        <v>0.05</v>
      </c>
      <c r="K439" s="10">
        <f t="shared" si="36"/>
        <v>14489.3</v>
      </c>
      <c r="L439" s="10">
        <f t="shared" si="37"/>
        <v>10738.71</v>
      </c>
      <c r="M439" s="11">
        <f t="shared" si="38"/>
        <v>0.37146597945276555</v>
      </c>
      <c r="N439" s="8" t="str">
        <f t="shared" si="39"/>
        <v>November</v>
      </c>
      <c r="O439" s="8" t="str">
        <f t="shared" si="40"/>
        <v>Q4</v>
      </c>
      <c r="P439" s="8" t="str">
        <f t="shared" si="41"/>
        <v>2025</v>
      </c>
    </row>
    <row r="440" spans="1:16" x14ac:dyDescent="0.25">
      <c r="A440" s="9" t="s">
        <v>29</v>
      </c>
      <c r="B440" s="8" t="s">
        <v>24</v>
      </c>
      <c r="C440" s="8" t="s">
        <v>17</v>
      </c>
      <c r="D440" s="8" t="s">
        <v>13</v>
      </c>
      <c r="E440" s="8" t="s">
        <v>19</v>
      </c>
      <c r="F440" s="10">
        <v>35129</v>
      </c>
      <c r="G440" s="10">
        <v>23262.16</v>
      </c>
      <c r="H440" s="10">
        <v>4952.07</v>
      </c>
      <c r="I440" s="8">
        <v>385</v>
      </c>
      <c r="J440" s="11">
        <v>0.15</v>
      </c>
      <c r="K440" s="10">
        <f t="shared" si="36"/>
        <v>11866.84</v>
      </c>
      <c r="L440" s="10">
        <f t="shared" si="37"/>
        <v>6914.77</v>
      </c>
      <c r="M440" s="11">
        <f t="shared" si="38"/>
        <v>0.19683936348885536</v>
      </c>
      <c r="N440" s="8" t="str">
        <f t="shared" si="39"/>
        <v>November</v>
      </c>
      <c r="O440" s="8" t="str">
        <f t="shared" si="40"/>
        <v>Q4</v>
      </c>
      <c r="P440" s="8" t="str">
        <f t="shared" si="41"/>
        <v>2025</v>
      </c>
    </row>
    <row r="441" spans="1:16" x14ac:dyDescent="0.25">
      <c r="A441" s="9" t="s">
        <v>29</v>
      </c>
      <c r="B441" s="8" t="s">
        <v>11</v>
      </c>
      <c r="C441" s="8" t="s">
        <v>17</v>
      </c>
      <c r="D441" s="8" t="s">
        <v>18</v>
      </c>
      <c r="E441" s="8" t="s">
        <v>25</v>
      </c>
      <c r="F441" s="10">
        <v>30354</v>
      </c>
      <c r="G441" s="10">
        <v>22592.84</v>
      </c>
      <c r="H441" s="10">
        <v>3506.22</v>
      </c>
      <c r="I441" s="8">
        <v>18</v>
      </c>
      <c r="J441" s="11">
        <v>0.05</v>
      </c>
      <c r="K441" s="10">
        <f t="shared" si="36"/>
        <v>7761.16</v>
      </c>
      <c r="L441" s="10">
        <f t="shared" si="37"/>
        <v>4254.9400000000005</v>
      </c>
      <c r="M441" s="11">
        <f t="shared" si="38"/>
        <v>0.14017724187915928</v>
      </c>
      <c r="N441" s="8" t="str">
        <f t="shared" si="39"/>
        <v>November</v>
      </c>
      <c r="O441" s="8" t="str">
        <f t="shared" si="40"/>
        <v>Q4</v>
      </c>
      <c r="P441" s="8" t="str">
        <f t="shared" si="41"/>
        <v>2025</v>
      </c>
    </row>
    <row r="442" spans="1:16" x14ac:dyDescent="0.25">
      <c r="A442" s="9" t="s">
        <v>243</v>
      </c>
      <c r="B442" s="8" t="s">
        <v>21</v>
      </c>
      <c r="C442" s="8" t="s">
        <v>17</v>
      </c>
      <c r="D442" s="8" t="s">
        <v>13</v>
      </c>
      <c r="E442" s="8" t="s">
        <v>25</v>
      </c>
      <c r="F442" s="10">
        <v>24124</v>
      </c>
      <c r="G442" s="10">
        <v>17926.96</v>
      </c>
      <c r="H442" s="10">
        <v>3529.34</v>
      </c>
      <c r="I442" s="8">
        <v>69</v>
      </c>
      <c r="J442" s="11">
        <v>0.05</v>
      </c>
      <c r="K442" s="10">
        <f t="shared" si="36"/>
        <v>6197.0400000000009</v>
      </c>
      <c r="L442" s="10">
        <f t="shared" si="37"/>
        <v>2667.7000000000007</v>
      </c>
      <c r="M442" s="11">
        <f t="shared" si="38"/>
        <v>0.1105828220858896</v>
      </c>
      <c r="N442" s="8" t="str">
        <f t="shared" si="39"/>
        <v>November</v>
      </c>
      <c r="O442" s="8" t="str">
        <f t="shared" si="40"/>
        <v>Q4</v>
      </c>
      <c r="P442" s="8" t="str">
        <f t="shared" si="41"/>
        <v>2025</v>
      </c>
    </row>
    <row r="443" spans="1:16" x14ac:dyDescent="0.25">
      <c r="A443" s="9" t="s">
        <v>10</v>
      </c>
      <c r="B443" s="8" t="s">
        <v>11</v>
      </c>
      <c r="C443" s="8" t="s">
        <v>12</v>
      </c>
      <c r="D443" s="8" t="s">
        <v>13</v>
      </c>
      <c r="E443" s="8" t="s">
        <v>14</v>
      </c>
      <c r="F443" s="10">
        <v>12296</v>
      </c>
      <c r="G443" s="10">
        <v>5625.46</v>
      </c>
      <c r="H443" s="10">
        <v>1457.13</v>
      </c>
      <c r="I443" s="8">
        <v>124</v>
      </c>
      <c r="J443" s="11">
        <v>0.02</v>
      </c>
      <c r="K443" s="10">
        <f t="shared" si="36"/>
        <v>6670.54</v>
      </c>
      <c r="L443" s="10">
        <f t="shared" si="37"/>
        <v>5213.41</v>
      </c>
      <c r="M443" s="11">
        <f t="shared" si="38"/>
        <v>0.42399235523747558</v>
      </c>
      <c r="N443" s="8" t="str">
        <f t="shared" si="39"/>
        <v>November</v>
      </c>
      <c r="O443" s="8" t="str">
        <f t="shared" si="40"/>
        <v>Q4</v>
      </c>
      <c r="P443" s="8" t="str">
        <f t="shared" si="41"/>
        <v>2025</v>
      </c>
    </row>
    <row r="444" spans="1:16" x14ac:dyDescent="0.25">
      <c r="A444" s="9" t="s">
        <v>167</v>
      </c>
      <c r="B444" s="8" t="s">
        <v>11</v>
      </c>
      <c r="C444" s="8" t="s">
        <v>17</v>
      </c>
      <c r="D444" s="8" t="s">
        <v>22</v>
      </c>
      <c r="E444" s="8" t="s">
        <v>25</v>
      </c>
      <c r="F444" s="10">
        <v>42799</v>
      </c>
      <c r="G444" s="10">
        <v>22657.65</v>
      </c>
      <c r="H444" s="10">
        <v>4687.05</v>
      </c>
      <c r="I444" s="8">
        <v>302</v>
      </c>
      <c r="J444" s="11">
        <v>0.1</v>
      </c>
      <c r="K444" s="10">
        <f t="shared" si="36"/>
        <v>20141.349999999999</v>
      </c>
      <c r="L444" s="10">
        <f t="shared" si="37"/>
        <v>15454.3</v>
      </c>
      <c r="M444" s="11">
        <f t="shared" si="38"/>
        <v>0.36109021238813988</v>
      </c>
      <c r="N444" s="8" t="str">
        <f t="shared" si="39"/>
        <v>November</v>
      </c>
      <c r="O444" s="8" t="str">
        <f t="shared" si="40"/>
        <v>Q4</v>
      </c>
      <c r="P444" s="8" t="str">
        <f t="shared" si="41"/>
        <v>2025</v>
      </c>
    </row>
    <row r="445" spans="1:16" x14ac:dyDescent="0.25">
      <c r="A445" s="9" t="s">
        <v>32</v>
      </c>
      <c r="B445" s="8" t="s">
        <v>24</v>
      </c>
      <c r="C445" s="8" t="s">
        <v>17</v>
      </c>
      <c r="D445" s="8" t="s">
        <v>13</v>
      </c>
      <c r="E445" s="8" t="s">
        <v>19</v>
      </c>
      <c r="F445" s="10">
        <v>35071</v>
      </c>
      <c r="G445" s="10">
        <v>17285.14</v>
      </c>
      <c r="H445" s="10">
        <v>3491.26</v>
      </c>
      <c r="I445" s="8">
        <v>391</v>
      </c>
      <c r="J445" s="11">
        <v>0.15</v>
      </c>
      <c r="K445" s="10">
        <f t="shared" si="36"/>
        <v>17785.86</v>
      </c>
      <c r="L445" s="10">
        <f t="shared" si="37"/>
        <v>14294.6</v>
      </c>
      <c r="M445" s="11">
        <f t="shared" si="38"/>
        <v>0.40759031678594854</v>
      </c>
      <c r="N445" s="8" t="str">
        <f t="shared" si="39"/>
        <v>November</v>
      </c>
      <c r="O445" s="8" t="str">
        <f t="shared" si="40"/>
        <v>Q4</v>
      </c>
      <c r="P445" s="8" t="str">
        <f t="shared" si="41"/>
        <v>2025</v>
      </c>
    </row>
    <row r="446" spans="1:16" x14ac:dyDescent="0.25">
      <c r="A446" s="9" t="s">
        <v>32</v>
      </c>
      <c r="B446" s="8" t="s">
        <v>21</v>
      </c>
      <c r="C446" s="8" t="s">
        <v>12</v>
      </c>
      <c r="D446" s="8" t="s">
        <v>22</v>
      </c>
      <c r="E446" s="8" t="s">
        <v>19</v>
      </c>
      <c r="F446" s="10">
        <v>48997</v>
      </c>
      <c r="G446" s="10">
        <v>27651.279999999999</v>
      </c>
      <c r="H446" s="10">
        <v>7517.36</v>
      </c>
      <c r="I446" s="8">
        <v>366</v>
      </c>
      <c r="J446" s="11">
        <v>0.1</v>
      </c>
      <c r="K446" s="10">
        <f t="shared" si="36"/>
        <v>21345.72</v>
      </c>
      <c r="L446" s="10">
        <f t="shared" si="37"/>
        <v>13828.36</v>
      </c>
      <c r="M446" s="11">
        <f t="shared" si="38"/>
        <v>0.28222870788007431</v>
      </c>
      <c r="N446" s="8" t="str">
        <f t="shared" si="39"/>
        <v>November</v>
      </c>
      <c r="O446" s="8" t="str">
        <f t="shared" si="40"/>
        <v>Q4</v>
      </c>
      <c r="P446" s="8" t="str">
        <f t="shared" si="41"/>
        <v>2025</v>
      </c>
    </row>
    <row r="447" spans="1:16" x14ac:dyDescent="0.25">
      <c r="A447" s="9" t="s">
        <v>202</v>
      </c>
      <c r="B447" s="8" t="s">
        <v>11</v>
      </c>
      <c r="C447" s="8" t="s">
        <v>12</v>
      </c>
      <c r="D447" s="8" t="s">
        <v>18</v>
      </c>
      <c r="E447" s="8" t="s">
        <v>25</v>
      </c>
      <c r="F447" s="10">
        <v>26710</v>
      </c>
      <c r="G447" s="10">
        <v>16553.71</v>
      </c>
      <c r="H447" s="10">
        <v>5345.06</v>
      </c>
      <c r="I447" s="8">
        <v>58</v>
      </c>
      <c r="J447" s="11">
        <v>0.15</v>
      </c>
      <c r="K447" s="10">
        <f t="shared" si="36"/>
        <v>10156.290000000001</v>
      </c>
      <c r="L447" s="10">
        <f t="shared" si="37"/>
        <v>4811.2300000000005</v>
      </c>
      <c r="M447" s="11">
        <f t="shared" si="38"/>
        <v>0.18012841632347437</v>
      </c>
      <c r="N447" s="8" t="str">
        <f t="shared" si="39"/>
        <v>November</v>
      </c>
      <c r="O447" s="8" t="str">
        <f t="shared" si="40"/>
        <v>Q4</v>
      </c>
      <c r="P447" s="8" t="str">
        <f t="shared" si="41"/>
        <v>2025</v>
      </c>
    </row>
    <row r="448" spans="1:16" x14ac:dyDescent="0.25">
      <c r="A448" s="9" t="s">
        <v>202</v>
      </c>
      <c r="B448" s="8" t="s">
        <v>21</v>
      </c>
      <c r="C448" s="8" t="s">
        <v>17</v>
      </c>
      <c r="D448" s="8" t="s">
        <v>27</v>
      </c>
      <c r="E448" s="8" t="s">
        <v>25</v>
      </c>
      <c r="F448" s="10">
        <v>10851</v>
      </c>
      <c r="G448" s="10">
        <v>5494.74</v>
      </c>
      <c r="H448" s="10">
        <v>1189.21</v>
      </c>
      <c r="I448" s="8">
        <v>431</v>
      </c>
      <c r="J448" s="11">
        <v>0.1</v>
      </c>
      <c r="K448" s="10">
        <f t="shared" si="36"/>
        <v>5356.26</v>
      </c>
      <c r="L448" s="10">
        <f t="shared" si="37"/>
        <v>4167.05</v>
      </c>
      <c r="M448" s="11">
        <f t="shared" si="38"/>
        <v>0.38402451386968944</v>
      </c>
      <c r="N448" s="8" t="str">
        <f t="shared" si="39"/>
        <v>November</v>
      </c>
      <c r="O448" s="8" t="str">
        <f t="shared" si="40"/>
        <v>Q4</v>
      </c>
      <c r="P448" s="8" t="str">
        <f t="shared" si="41"/>
        <v>2025</v>
      </c>
    </row>
    <row r="449" spans="1:16" x14ac:dyDescent="0.25">
      <c r="A449" s="9" t="s">
        <v>202</v>
      </c>
      <c r="B449" s="8" t="s">
        <v>16</v>
      </c>
      <c r="C449" s="8" t="s">
        <v>12</v>
      </c>
      <c r="D449" s="8" t="s">
        <v>18</v>
      </c>
      <c r="E449" s="8" t="s">
        <v>25</v>
      </c>
      <c r="F449" s="10">
        <v>38590</v>
      </c>
      <c r="G449" s="10">
        <v>19014.7</v>
      </c>
      <c r="H449" s="10">
        <v>4081.24</v>
      </c>
      <c r="I449" s="8">
        <v>325</v>
      </c>
      <c r="J449" s="11">
        <v>0.05</v>
      </c>
      <c r="K449" s="10">
        <f t="shared" si="36"/>
        <v>19575.3</v>
      </c>
      <c r="L449" s="10">
        <f t="shared" si="37"/>
        <v>15494.06</v>
      </c>
      <c r="M449" s="11">
        <f t="shared" si="38"/>
        <v>0.401504534853589</v>
      </c>
      <c r="N449" s="8" t="str">
        <f t="shared" si="39"/>
        <v>November</v>
      </c>
      <c r="O449" s="8" t="str">
        <f t="shared" si="40"/>
        <v>Q4</v>
      </c>
      <c r="P449" s="8" t="str">
        <f t="shared" si="41"/>
        <v>2025</v>
      </c>
    </row>
    <row r="450" spans="1:16" x14ac:dyDescent="0.25">
      <c r="A450" s="9" t="s">
        <v>269</v>
      </c>
      <c r="B450" s="8" t="s">
        <v>16</v>
      </c>
      <c r="C450" s="8" t="s">
        <v>12</v>
      </c>
      <c r="D450" s="8" t="s">
        <v>27</v>
      </c>
      <c r="E450" s="8" t="s">
        <v>14</v>
      </c>
      <c r="F450" s="10">
        <v>29453</v>
      </c>
      <c r="G450" s="10">
        <v>21713.27</v>
      </c>
      <c r="H450" s="10">
        <v>2402.2199999999998</v>
      </c>
      <c r="I450" s="8">
        <v>457</v>
      </c>
      <c r="J450" s="11">
        <v>0.15</v>
      </c>
      <c r="K450" s="10">
        <f t="shared" si="36"/>
        <v>7739.73</v>
      </c>
      <c r="L450" s="10">
        <f t="shared" si="37"/>
        <v>5337.51</v>
      </c>
      <c r="M450" s="11">
        <f t="shared" si="38"/>
        <v>0.18122126778256883</v>
      </c>
      <c r="N450" s="8" t="str">
        <f t="shared" si="39"/>
        <v>November</v>
      </c>
      <c r="O450" s="8" t="str">
        <f t="shared" si="40"/>
        <v>Q4</v>
      </c>
      <c r="P450" s="8" t="str">
        <f t="shared" si="41"/>
        <v>2025</v>
      </c>
    </row>
    <row r="451" spans="1:16" x14ac:dyDescent="0.25">
      <c r="A451" s="9" t="s">
        <v>265</v>
      </c>
      <c r="B451" s="8" t="s">
        <v>16</v>
      </c>
      <c r="C451" s="8" t="s">
        <v>12</v>
      </c>
      <c r="D451" s="8" t="s">
        <v>22</v>
      </c>
      <c r="E451" s="8" t="s">
        <v>19</v>
      </c>
      <c r="F451" s="10">
        <v>5576</v>
      </c>
      <c r="G451" s="10">
        <v>2701.11</v>
      </c>
      <c r="H451" s="10">
        <v>716.19</v>
      </c>
      <c r="I451" s="8">
        <v>133</v>
      </c>
      <c r="J451" s="11">
        <v>0.15</v>
      </c>
      <c r="K451" s="10">
        <f t="shared" ref="K451:K501" si="42">F451-G451</f>
        <v>2874.89</v>
      </c>
      <c r="L451" s="10">
        <f t="shared" ref="L451:L501" si="43">F451-G451-H451</f>
        <v>2158.6999999999998</v>
      </c>
      <c r="M451" s="11">
        <f t="shared" ref="M451:M501" si="44">L451/F451</f>
        <v>0.38714131994261114</v>
      </c>
      <c r="N451" s="8" t="str">
        <f t="shared" ref="N451:N501" si="45">TEXT(A451,"MMMM")</f>
        <v>November</v>
      </c>
      <c r="O451" s="8" t="str">
        <f t="shared" ref="O451:O501" si="46">"Q"&amp;ROUNDUP(MONTH(A451)/3,0)</f>
        <v>Q4</v>
      </c>
      <c r="P451" s="8" t="str">
        <f t="shared" ref="P451:P501" si="47">TEXT(A451,"YYYY")</f>
        <v>2025</v>
      </c>
    </row>
    <row r="452" spans="1:16" x14ac:dyDescent="0.25">
      <c r="A452" s="9" t="s">
        <v>241</v>
      </c>
      <c r="B452" s="8" t="s">
        <v>24</v>
      </c>
      <c r="C452" s="8" t="s">
        <v>12</v>
      </c>
      <c r="D452" s="8" t="s">
        <v>22</v>
      </c>
      <c r="E452" s="8" t="s">
        <v>19</v>
      </c>
      <c r="F452" s="10">
        <v>19783</v>
      </c>
      <c r="G452" s="10">
        <v>9867.7000000000007</v>
      </c>
      <c r="H452" s="10">
        <v>1786.79</v>
      </c>
      <c r="I452" s="8">
        <v>443</v>
      </c>
      <c r="J452" s="11">
        <v>0</v>
      </c>
      <c r="K452" s="10">
        <f t="shared" si="42"/>
        <v>9915.2999999999993</v>
      </c>
      <c r="L452" s="10">
        <f t="shared" si="43"/>
        <v>8128.5099999999993</v>
      </c>
      <c r="M452" s="11">
        <f t="shared" si="44"/>
        <v>0.41088358691806093</v>
      </c>
      <c r="N452" s="8" t="str">
        <f t="shared" si="45"/>
        <v>November</v>
      </c>
      <c r="O452" s="8" t="str">
        <f t="shared" si="46"/>
        <v>Q4</v>
      </c>
      <c r="P452" s="8" t="str">
        <f t="shared" si="47"/>
        <v>2025</v>
      </c>
    </row>
    <row r="453" spans="1:16" x14ac:dyDescent="0.25">
      <c r="A453" s="9" t="s">
        <v>215</v>
      </c>
      <c r="B453" s="8" t="s">
        <v>24</v>
      </c>
      <c r="C453" s="8" t="s">
        <v>12</v>
      </c>
      <c r="D453" s="8" t="s">
        <v>13</v>
      </c>
      <c r="E453" s="8" t="s">
        <v>14</v>
      </c>
      <c r="F453" s="10">
        <v>21222</v>
      </c>
      <c r="G453" s="10">
        <v>11445.29</v>
      </c>
      <c r="H453" s="10">
        <v>4666.8</v>
      </c>
      <c r="I453" s="8">
        <v>240</v>
      </c>
      <c r="J453" s="11">
        <v>0.05</v>
      </c>
      <c r="K453" s="10">
        <f t="shared" si="42"/>
        <v>9776.7099999999991</v>
      </c>
      <c r="L453" s="10">
        <f t="shared" si="43"/>
        <v>5109.9099999999989</v>
      </c>
      <c r="M453" s="11">
        <f t="shared" si="44"/>
        <v>0.24078362077089807</v>
      </c>
      <c r="N453" s="8" t="str">
        <f t="shared" si="45"/>
        <v>December</v>
      </c>
      <c r="O453" s="8" t="str">
        <f t="shared" si="46"/>
        <v>Q4</v>
      </c>
      <c r="P453" s="8" t="str">
        <f t="shared" si="47"/>
        <v>2025</v>
      </c>
    </row>
    <row r="454" spans="1:16" x14ac:dyDescent="0.25">
      <c r="A454" s="9" t="s">
        <v>215</v>
      </c>
      <c r="B454" s="8" t="s">
        <v>24</v>
      </c>
      <c r="C454" s="8" t="s">
        <v>17</v>
      </c>
      <c r="D454" s="8" t="s">
        <v>18</v>
      </c>
      <c r="E454" s="8" t="s">
        <v>25</v>
      </c>
      <c r="F454" s="10">
        <v>29806</v>
      </c>
      <c r="G454" s="10">
        <v>16679.11</v>
      </c>
      <c r="H454" s="10">
        <v>5110.75</v>
      </c>
      <c r="I454" s="8">
        <v>437</v>
      </c>
      <c r="J454" s="11">
        <v>0</v>
      </c>
      <c r="K454" s="10">
        <f t="shared" si="42"/>
        <v>13126.89</v>
      </c>
      <c r="L454" s="10">
        <f t="shared" si="43"/>
        <v>8016.1399999999994</v>
      </c>
      <c r="M454" s="11">
        <f t="shared" si="44"/>
        <v>0.26894383681138023</v>
      </c>
      <c r="N454" s="8" t="str">
        <f t="shared" si="45"/>
        <v>December</v>
      </c>
      <c r="O454" s="8" t="str">
        <f t="shared" si="46"/>
        <v>Q4</v>
      </c>
      <c r="P454" s="8" t="str">
        <f t="shared" si="47"/>
        <v>2025</v>
      </c>
    </row>
    <row r="455" spans="1:16" x14ac:dyDescent="0.25">
      <c r="A455" s="9" t="s">
        <v>71</v>
      </c>
      <c r="B455" s="8" t="s">
        <v>21</v>
      </c>
      <c r="C455" s="8" t="s">
        <v>12</v>
      </c>
      <c r="D455" s="8" t="s">
        <v>18</v>
      </c>
      <c r="E455" s="8" t="s">
        <v>25</v>
      </c>
      <c r="F455" s="10">
        <v>5363</v>
      </c>
      <c r="G455" s="10">
        <v>3849.55</v>
      </c>
      <c r="H455" s="10">
        <v>1075.08</v>
      </c>
      <c r="I455" s="8">
        <v>463</v>
      </c>
      <c r="J455" s="11">
        <v>0</v>
      </c>
      <c r="K455" s="10">
        <f t="shared" si="42"/>
        <v>1513.4499999999998</v>
      </c>
      <c r="L455" s="10">
        <f t="shared" si="43"/>
        <v>438.36999999999989</v>
      </c>
      <c r="M455" s="11">
        <f t="shared" si="44"/>
        <v>8.1739697930262895E-2</v>
      </c>
      <c r="N455" s="8" t="str">
        <f t="shared" si="45"/>
        <v>December</v>
      </c>
      <c r="O455" s="8" t="str">
        <f t="shared" si="46"/>
        <v>Q4</v>
      </c>
      <c r="P455" s="8" t="str">
        <f t="shared" si="47"/>
        <v>2025</v>
      </c>
    </row>
    <row r="456" spans="1:16" x14ac:dyDescent="0.25">
      <c r="A456" s="9" t="s">
        <v>71</v>
      </c>
      <c r="B456" s="8" t="s">
        <v>24</v>
      </c>
      <c r="C456" s="8" t="s">
        <v>17</v>
      </c>
      <c r="D456" s="8" t="s">
        <v>22</v>
      </c>
      <c r="E456" s="8" t="s">
        <v>14</v>
      </c>
      <c r="F456" s="10">
        <v>48393</v>
      </c>
      <c r="G456" s="10">
        <v>27467.26</v>
      </c>
      <c r="H456" s="10">
        <v>7902.86</v>
      </c>
      <c r="I456" s="8">
        <v>490</v>
      </c>
      <c r="J456" s="11">
        <v>0</v>
      </c>
      <c r="K456" s="10">
        <f t="shared" si="42"/>
        <v>20925.740000000002</v>
      </c>
      <c r="L456" s="10">
        <f t="shared" si="43"/>
        <v>13022.880000000001</v>
      </c>
      <c r="M456" s="11">
        <f t="shared" si="44"/>
        <v>0.26910668898394396</v>
      </c>
      <c r="N456" s="8" t="str">
        <f t="shared" si="45"/>
        <v>December</v>
      </c>
      <c r="O456" s="8" t="str">
        <f t="shared" si="46"/>
        <v>Q4</v>
      </c>
      <c r="P456" s="8" t="str">
        <f t="shared" si="47"/>
        <v>2025</v>
      </c>
    </row>
    <row r="457" spans="1:16" x14ac:dyDescent="0.25">
      <c r="A457" s="9" t="s">
        <v>71</v>
      </c>
      <c r="B457" s="8" t="s">
        <v>16</v>
      </c>
      <c r="C457" s="8" t="s">
        <v>17</v>
      </c>
      <c r="D457" s="8" t="s">
        <v>13</v>
      </c>
      <c r="E457" s="8" t="s">
        <v>14</v>
      </c>
      <c r="F457" s="10">
        <v>13315</v>
      </c>
      <c r="G457" s="10">
        <v>8793.6</v>
      </c>
      <c r="H457" s="10">
        <v>1312.55</v>
      </c>
      <c r="I457" s="8">
        <v>84</v>
      </c>
      <c r="J457" s="11">
        <v>0.05</v>
      </c>
      <c r="K457" s="10">
        <f t="shared" si="42"/>
        <v>4521.3999999999996</v>
      </c>
      <c r="L457" s="10">
        <f t="shared" si="43"/>
        <v>3208.8499999999995</v>
      </c>
      <c r="M457" s="11">
        <f t="shared" si="44"/>
        <v>0.24099511828764547</v>
      </c>
      <c r="N457" s="8" t="str">
        <f t="shared" si="45"/>
        <v>December</v>
      </c>
      <c r="O457" s="8" t="str">
        <f t="shared" si="46"/>
        <v>Q4</v>
      </c>
      <c r="P457" s="8" t="str">
        <f t="shared" si="47"/>
        <v>2025</v>
      </c>
    </row>
    <row r="458" spans="1:16" x14ac:dyDescent="0.25">
      <c r="A458" s="9" t="s">
        <v>154</v>
      </c>
      <c r="B458" s="8" t="s">
        <v>16</v>
      </c>
      <c r="C458" s="8" t="s">
        <v>12</v>
      </c>
      <c r="D458" s="8" t="s">
        <v>22</v>
      </c>
      <c r="E458" s="8" t="s">
        <v>25</v>
      </c>
      <c r="F458" s="10">
        <v>46173</v>
      </c>
      <c r="G458" s="10">
        <v>22213.79</v>
      </c>
      <c r="H458" s="10">
        <v>7455.39</v>
      </c>
      <c r="I458" s="8">
        <v>397</v>
      </c>
      <c r="J458" s="11">
        <v>0.05</v>
      </c>
      <c r="K458" s="10">
        <f t="shared" si="42"/>
        <v>23959.21</v>
      </c>
      <c r="L458" s="10">
        <f t="shared" si="43"/>
        <v>16503.82</v>
      </c>
      <c r="M458" s="11">
        <f t="shared" si="44"/>
        <v>0.35743443137764491</v>
      </c>
      <c r="N458" s="8" t="str">
        <f t="shared" si="45"/>
        <v>December</v>
      </c>
      <c r="O458" s="8" t="str">
        <f t="shared" si="46"/>
        <v>Q4</v>
      </c>
      <c r="P458" s="8" t="str">
        <f t="shared" si="47"/>
        <v>2025</v>
      </c>
    </row>
    <row r="459" spans="1:16" x14ac:dyDescent="0.25">
      <c r="A459" s="9" t="s">
        <v>166</v>
      </c>
      <c r="B459" s="8" t="s">
        <v>11</v>
      </c>
      <c r="C459" s="8" t="s">
        <v>12</v>
      </c>
      <c r="D459" s="8" t="s">
        <v>27</v>
      </c>
      <c r="E459" s="8" t="s">
        <v>14</v>
      </c>
      <c r="F459" s="10">
        <v>45925</v>
      </c>
      <c r="G459" s="10">
        <v>30594.77</v>
      </c>
      <c r="H459" s="10">
        <v>7564.74</v>
      </c>
      <c r="I459" s="8">
        <v>441</v>
      </c>
      <c r="J459" s="11">
        <v>0.15</v>
      </c>
      <c r="K459" s="10">
        <f t="shared" si="42"/>
        <v>15330.23</v>
      </c>
      <c r="L459" s="10">
        <f t="shared" si="43"/>
        <v>7765.49</v>
      </c>
      <c r="M459" s="11">
        <f t="shared" si="44"/>
        <v>0.16909069134458354</v>
      </c>
      <c r="N459" s="8" t="str">
        <f t="shared" si="45"/>
        <v>December</v>
      </c>
      <c r="O459" s="8" t="str">
        <f t="shared" si="46"/>
        <v>Q4</v>
      </c>
      <c r="P459" s="8" t="str">
        <f t="shared" si="47"/>
        <v>2025</v>
      </c>
    </row>
    <row r="460" spans="1:16" x14ac:dyDescent="0.25">
      <c r="A460" s="9" t="s">
        <v>166</v>
      </c>
      <c r="B460" s="8" t="s">
        <v>11</v>
      </c>
      <c r="C460" s="8" t="s">
        <v>12</v>
      </c>
      <c r="D460" s="8" t="s">
        <v>13</v>
      </c>
      <c r="E460" s="8" t="s">
        <v>19</v>
      </c>
      <c r="F460" s="10">
        <v>38476</v>
      </c>
      <c r="G460" s="10">
        <v>20367.509999999998</v>
      </c>
      <c r="H460" s="10">
        <v>6979.01</v>
      </c>
      <c r="I460" s="8">
        <v>185</v>
      </c>
      <c r="J460" s="11">
        <v>0.1</v>
      </c>
      <c r="K460" s="10">
        <f t="shared" si="42"/>
        <v>18108.490000000002</v>
      </c>
      <c r="L460" s="10">
        <f t="shared" si="43"/>
        <v>11129.480000000001</v>
      </c>
      <c r="M460" s="11">
        <f t="shared" si="44"/>
        <v>0.28925771909761933</v>
      </c>
      <c r="N460" s="8" t="str">
        <f t="shared" si="45"/>
        <v>December</v>
      </c>
      <c r="O460" s="8" t="str">
        <f t="shared" si="46"/>
        <v>Q4</v>
      </c>
      <c r="P460" s="8" t="str">
        <f t="shared" si="47"/>
        <v>2025</v>
      </c>
    </row>
    <row r="461" spans="1:16" x14ac:dyDescent="0.25">
      <c r="A461" s="9" t="s">
        <v>28</v>
      </c>
      <c r="B461" s="8" t="s">
        <v>11</v>
      </c>
      <c r="C461" s="8" t="s">
        <v>17</v>
      </c>
      <c r="D461" s="8" t="s">
        <v>22</v>
      </c>
      <c r="E461" s="8" t="s">
        <v>19</v>
      </c>
      <c r="F461" s="10">
        <v>19935</v>
      </c>
      <c r="G461" s="10">
        <v>13594.09</v>
      </c>
      <c r="H461" s="10">
        <v>4344.45</v>
      </c>
      <c r="I461" s="8">
        <v>447</v>
      </c>
      <c r="J461" s="11">
        <v>0.02</v>
      </c>
      <c r="K461" s="10">
        <f t="shared" si="42"/>
        <v>6340.91</v>
      </c>
      <c r="L461" s="10">
        <f t="shared" si="43"/>
        <v>1996.46</v>
      </c>
      <c r="M461" s="11">
        <f t="shared" si="44"/>
        <v>0.10014848256834713</v>
      </c>
      <c r="N461" s="8" t="str">
        <f t="shared" si="45"/>
        <v>December</v>
      </c>
      <c r="O461" s="8" t="str">
        <f t="shared" si="46"/>
        <v>Q4</v>
      </c>
      <c r="P461" s="8" t="str">
        <f t="shared" si="47"/>
        <v>2025</v>
      </c>
    </row>
    <row r="462" spans="1:16" x14ac:dyDescent="0.25">
      <c r="A462" s="9" t="s">
        <v>28</v>
      </c>
      <c r="B462" s="8" t="s">
        <v>21</v>
      </c>
      <c r="C462" s="8" t="s">
        <v>12</v>
      </c>
      <c r="D462" s="8" t="s">
        <v>27</v>
      </c>
      <c r="E462" s="8" t="s">
        <v>19</v>
      </c>
      <c r="F462" s="10">
        <v>11617</v>
      </c>
      <c r="G462" s="10">
        <v>7536.47</v>
      </c>
      <c r="H462" s="10">
        <v>1368.45</v>
      </c>
      <c r="I462" s="8">
        <v>320</v>
      </c>
      <c r="J462" s="11">
        <v>0.02</v>
      </c>
      <c r="K462" s="10">
        <f t="shared" si="42"/>
        <v>4080.5299999999997</v>
      </c>
      <c r="L462" s="10">
        <f t="shared" si="43"/>
        <v>2712.08</v>
      </c>
      <c r="M462" s="11">
        <f t="shared" si="44"/>
        <v>0.23345786347594041</v>
      </c>
      <c r="N462" s="8" t="str">
        <f t="shared" si="45"/>
        <v>December</v>
      </c>
      <c r="O462" s="8" t="str">
        <f t="shared" si="46"/>
        <v>Q4</v>
      </c>
      <c r="P462" s="8" t="str">
        <f t="shared" si="47"/>
        <v>2025</v>
      </c>
    </row>
    <row r="463" spans="1:16" x14ac:dyDescent="0.25">
      <c r="A463" s="9" t="s">
        <v>28</v>
      </c>
      <c r="B463" s="8" t="s">
        <v>16</v>
      </c>
      <c r="C463" s="8" t="s">
        <v>12</v>
      </c>
      <c r="D463" s="8" t="s">
        <v>27</v>
      </c>
      <c r="E463" s="8" t="s">
        <v>25</v>
      </c>
      <c r="F463" s="10">
        <v>21290</v>
      </c>
      <c r="G463" s="10">
        <v>12658.58</v>
      </c>
      <c r="H463" s="10">
        <v>3681.46</v>
      </c>
      <c r="I463" s="8">
        <v>338</v>
      </c>
      <c r="J463" s="11">
        <v>0.1</v>
      </c>
      <c r="K463" s="10">
        <f t="shared" si="42"/>
        <v>8631.42</v>
      </c>
      <c r="L463" s="10">
        <f t="shared" si="43"/>
        <v>4949.96</v>
      </c>
      <c r="M463" s="11">
        <f t="shared" si="44"/>
        <v>0.23250164396430248</v>
      </c>
      <c r="N463" s="8" t="str">
        <f t="shared" si="45"/>
        <v>December</v>
      </c>
      <c r="O463" s="8" t="str">
        <f t="shared" si="46"/>
        <v>Q4</v>
      </c>
      <c r="P463" s="8" t="str">
        <f t="shared" si="47"/>
        <v>2025</v>
      </c>
    </row>
    <row r="464" spans="1:16" x14ac:dyDescent="0.25">
      <c r="A464" s="9" t="s">
        <v>28</v>
      </c>
      <c r="B464" s="8" t="s">
        <v>24</v>
      </c>
      <c r="C464" s="8" t="s">
        <v>12</v>
      </c>
      <c r="D464" s="8" t="s">
        <v>22</v>
      </c>
      <c r="E464" s="8" t="s">
        <v>25</v>
      </c>
      <c r="F464" s="10">
        <v>7019</v>
      </c>
      <c r="G464" s="10">
        <v>4156.63</v>
      </c>
      <c r="H464" s="10">
        <v>1085.74</v>
      </c>
      <c r="I464" s="8">
        <v>79</v>
      </c>
      <c r="J464" s="11">
        <v>0.1</v>
      </c>
      <c r="K464" s="10">
        <f t="shared" si="42"/>
        <v>2862.37</v>
      </c>
      <c r="L464" s="10">
        <f t="shared" si="43"/>
        <v>1776.6299999999999</v>
      </c>
      <c r="M464" s="11">
        <f t="shared" si="44"/>
        <v>0.25311725316996719</v>
      </c>
      <c r="N464" s="8" t="str">
        <f t="shared" si="45"/>
        <v>December</v>
      </c>
      <c r="O464" s="8" t="str">
        <f t="shared" si="46"/>
        <v>Q4</v>
      </c>
      <c r="P464" s="8" t="str">
        <f t="shared" si="47"/>
        <v>2025</v>
      </c>
    </row>
    <row r="465" spans="1:16" x14ac:dyDescent="0.25">
      <c r="A465" s="9" t="s">
        <v>101</v>
      </c>
      <c r="B465" s="8" t="s">
        <v>24</v>
      </c>
      <c r="C465" s="8" t="s">
        <v>17</v>
      </c>
      <c r="D465" s="8" t="s">
        <v>22</v>
      </c>
      <c r="E465" s="8" t="s">
        <v>14</v>
      </c>
      <c r="F465" s="10">
        <v>31244</v>
      </c>
      <c r="G465" s="10">
        <v>21685.52</v>
      </c>
      <c r="H465" s="10">
        <v>4905.7299999999996</v>
      </c>
      <c r="I465" s="8">
        <v>242</v>
      </c>
      <c r="J465" s="11">
        <v>0</v>
      </c>
      <c r="K465" s="10">
        <f t="shared" si="42"/>
        <v>9558.48</v>
      </c>
      <c r="L465" s="10">
        <f t="shared" si="43"/>
        <v>4652.75</v>
      </c>
      <c r="M465" s="11">
        <f t="shared" si="44"/>
        <v>0.14891659198566123</v>
      </c>
      <c r="N465" s="8" t="str">
        <f t="shared" si="45"/>
        <v>December</v>
      </c>
      <c r="O465" s="8" t="str">
        <f t="shared" si="46"/>
        <v>Q4</v>
      </c>
      <c r="P465" s="8" t="str">
        <f t="shared" si="47"/>
        <v>2025</v>
      </c>
    </row>
    <row r="466" spans="1:16" x14ac:dyDescent="0.25">
      <c r="A466" s="9" t="s">
        <v>101</v>
      </c>
      <c r="B466" s="8" t="s">
        <v>16</v>
      </c>
      <c r="C466" s="8" t="s">
        <v>17</v>
      </c>
      <c r="D466" s="8" t="s">
        <v>13</v>
      </c>
      <c r="E466" s="8" t="s">
        <v>25</v>
      </c>
      <c r="F466" s="10">
        <v>30925</v>
      </c>
      <c r="G466" s="10">
        <v>19353.02</v>
      </c>
      <c r="H466" s="10">
        <v>3931.14</v>
      </c>
      <c r="I466" s="8">
        <v>175</v>
      </c>
      <c r="J466" s="11">
        <v>0.02</v>
      </c>
      <c r="K466" s="10">
        <f t="shared" si="42"/>
        <v>11571.98</v>
      </c>
      <c r="L466" s="10">
        <f t="shared" si="43"/>
        <v>7640.84</v>
      </c>
      <c r="M466" s="11">
        <f t="shared" si="44"/>
        <v>0.24707647534357316</v>
      </c>
      <c r="N466" s="8" t="str">
        <f t="shared" si="45"/>
        <v>December</v>
      </c>
      <c r="O466" s="8" t="str">
        <f t="shared" si="46"/>
        <v>Q4</v>
      </c>
      <c r="P466" s="8" t="str">
        <f t="shared" si="47"/>
        <v>2025</v>
      </c>
    </row>
    <row r="467" spans="1:16" x14ac:dyDescent="0.25">
      <c r="A467" s="9" t="s">
        <v>101</v>
      </c>
      <c r="B467" s="8" t="s">
        <v>11</v>
      </c>
      <c r="C467" s="8" t="s">
        <v>17</v>
      </c>
      <c r="D467" s="8" t="s">
        <v>27</v>
      </c>
      <c r="E467" s="8" t="s">
        <v>19</v>
      </c>
      <c r="F467" s="10">
        <v>29525</v>
      </c>
      <c r="G467" s="10">
        <v>18259.36</v>
      </c>
      <c r="H467" s="10">
        <v>4816.3599999999997</v>
      </c>
      <c r="I467" s="8">
        <v>154</v>
      </c>
      <c r="J467" s="11">
        <v>0.05</v>
      </c>
      <c r="K467" s="10">
        <f t="shared" si="42"/>
        <v>11265.64</v>
      </c>
      <c r="L467" s="10">
        <f t="shared" si="43"/>
        <v>6449.28</v>
      </c>
      <c r="M467" s="11">
        <f t="shared" si="44"/>
        <v>0.2184345469940728</v>
      </c>
      <c r="N467" s="8" t="str">
        <f t="shared" si="45"/>
        <v>December</v>
      </c>
      <c r="O467" s="8" t="str">
        <f t="shared" si="46"/>
        <v>Q4</v>
      </c>
      <c r="P467" s="8" t="str">
        <f t="shared" si="47"/>
        <v>2025</v>
      </c>
    </row>
    <row r="468" spans="1:16" x14ac:dyDescent="0.25">
      <c r="A468" s="9" t="s">
        <v>101</v>
      </c>
      <c r="B468" s="8" t="s">
        <v>24</v>
      </c>
      <c r="C468" s="8" t="s">
        <v>12</v>
      </c>
      <c r="D468" s="8" t="s">
        <v>22</v>
      </c>
      <c r="E468" s="8" t="s">
        <v>19</v>
      </c>
      <c r="F468" s="10">
        <v>47414</v>
      </c>
      <c r="G468" s="10">
        <v>23761.7</v>
      </c>
      <c r="H468" s="10">
        <v>6166.37</v>
      </c>
      <c r="I468" s="8">
        <v>234</v>
      </c>
      <c r="J468" s="11">
        <v>0.15</v>
      </c>
      <c r="K468" s="10">
        <f t="shared" si="42"/>
        <v>23652.3</v>
      </c>
      <c r="L468" s="10">
        <f t="shared" si="43"/>
        <v>17485.93</v>
      </c>
      <c r="M468" s="11">
        <f t="shared" si="44"/>
        <v>0.36879255072341505</v>
      </c>
      <c r="N468" s="8" t="str">
        <f t="shared" si="45"/>
        <v>December</v>
      </c>
      <c r="O468" s="8" t="str">
        <f t="shared" si="46"/>
        <v>Q4</v>
      </c>
      <c r="P468" s="8" t="str">
        <f t="shared" si="47"/>
        <v>2025</v>
      </c>
    </row>
    <row r="469" spans="1:16" x14ac:dyDescent="0.25">
      <c r="A469" s="9" t="s">
        <v>131</v>
      </c>
      <c r="B469" s="8" t="s">
        <v>24</v>
      </c>
      <c r="C469" s="8" t="s">
        <v>17</v>
      </c>
      <c r="D469" s="8" t="s">
        <v>27</v>
      </c>
      <c r="E469" s="8" t="s">
        <v>25</v>
      </c>
      <c r="F469" s="10">
        <v>32717</v>
      </c>
      <c r="G469" s="10">
        <v>23243.06</v>
      </c>
      <c r="H469" s="10">
        <v>5920.09</v>
      </c>
      <c r="I469" s="8">
        <v>157</v>
      </c>
      <c r="J469" s="11">
        <v>0.15</v>
      </c>
      <c r="K469" s="10">
        <f t="shared" si="42"/>
        <v>9473.9399999999987</v>
      </c>
      <c r="L469" s="10">
        <f t="shared" si="43"/>
        <v>3553.8499999999985</v>
      </c>
      <c r="M469" s="11">
        <f t="shared" si="44"/>
        <v>0.1086239569642693</v>
      </c>
      <c r="N469" s="8" t="str">
        <f t="shared" si="45"/>
        <v>December</v>
      </c>
      <c r="O469" s="8" t="str">
        <f t="shared" si="46"/>
        <v>Q4</v>
      </c>
      <c r="P469" s="8" t="str">
        <f t="shared" si="47"/>
        <v>2025</v>
      </c>
    </row>
    <row r="470" spans="1:16" x14ac:dyDescent="0.25">
      <c r="A470" s="9" t="s">
        <v>131</v>
      </c>
      <c r="B470" s="8" t="s">
        <v>11</v>
      </c>
      <c r="C470" s="8" t="s">
        <v>17</v>
      </c>
      <c r="D470" s="8" t="s">
        <v>13</v>
      </c>
      <c r="E470" s="8" t="s">
        <v>14</v>
      </c>
      <c r="F470" s="10">
        <v>48792</v>
      </c>
      <c r="G470" s="10">
        <v>23209.58</v>
      </c>
      <c r="H470" s="10">
        <v>10561.11</v>
      </c>
      <c r="I470" s="8">
        <v>44</v>
      </c>
      <c r="J470" s="11">
        <v>0.15</v>
      </c>
      <c r="K470" s="10">
        <f t="shared" si="42"/>
        <v>25582.42</v>
      </c>
      <c r="L470" s="10">
        <f t="shared" si="43"/>
        <v>15021.309999999998</v>
      </c>
      <c r="M470" s="11">
        <f t="shared" si="44"/>
        <v>0.3078641990490244</v>
      </c>
      <c r="N470" s="8" t="str">
        <f t="shared" si="45"/>
        <v>December</v>
      </c>
      <c r="O470" s="8" t="str">
        <f t="shared" si="46"/>
        <v>Q4</v>
      </c>
      <c r="P470" s="8" t="str">
        <f t="shared" si="47"/>
        <v>2025</v>
      </c>
    </row>
    <row r="471" spans="1:16" x14ac:dyDescent="0.25">
      <c r="A471" s="9" t="s">
        <v>131</v>
      </c>
      <c r="B471" s="8" t="s">
        <v>21</v>
      </c>
      <c r="C471" s="8" t="s">
        <v>17</v>
      </c>
      <c r="D471" s="8" t="s">
        <v>27</v>
      </c>
      <c r="E471" s="8" t="s">
        <v>25</v>
      </c>
      <c r="F471" s="10">
        <v>19313</v>
      </c>
      <c r="G471" s="10">
        <v>13104.99</v>
      </c>
      <c r="H471" s="10">
        <v>3384.56</v>
      </c>
      <c r="I471" s="8">
        <v>315</v>
      </c>
      <c r="J471" s="11">
        <v>0</v>
      </c>
      <c r="K471" s="10">
        <f t="shared" si="42"/>
        <v>6208.01</v>
      </c>
      <c r="L471" s="10">
        <f t="shared" si="43"/>
        <v>2823.4500000000003</v>
      </c>
      <c r="M471" s="11">
        <f t="shared" si="44"/>
        <v>0.14619427328742299</v>
      </c>
      <c r="N471" s="8" t="str">
        <f t="shared" si="45"/>
        <v>December</v>
      </c>
      <c r="O471" s="8" t="str">
        <f t="shared" si="46"/>
        <v>Q4</v>
      </c>
      <c r="P471" s="8" t="str">
        <f t="shared" si="47"/>
        <v>2025</v>
      </c>
    </row>
    <row r="472" spans="1:16" x14ac:dyDescent="0.25">
      <c r="A472" s="9" t="s">
        <v>131</v>
      </c>
      <c r="B472" s="8" t="s">
        <v>24</v>
      </c>
      <c r="C472" s="8" t="s">
        <v>17</v>
      </c>
      <c r="D472" s="8" t="s">
        <v>27</v>
      </c>
      <c r="E472" s="8" t="s">
        <v>14</v>
      </c>
      <c r="F472" s="10">
        <v>28265</v>
      </c>
      <c r="G472" s="10">
        <v>14129.72</v>
      </c>
      <c r="H472" s="10">
        <v>4685.63</v>
      </c>
      <c r="I472" s="8">
        <v>298</v>
      </c>
      <c r="J472" s="11">
        <v>0.1</v>
      </c>
      <c r="K472" s="10">
        <f t="shared" si="42"/>
        <v>14135.28</v>
      </c>
      <c r="L472" s="10">
        <f t="shared" si="43"/>
        <v>9449.6500000000015</v>
      </c>
      <c r="M472" s="11">
        <f t="shared" si="44"/>
        <v>0.33432336812312052</v>
      </c>
      <c r="N472" s="8" t="str">
        <f t="shared" si="45"/>
        <v>December</v>
      </c>
      <c r="O472" s="8" t="str">
        <f t="shared" si="46"/>
        <v>Q4</v>
      </c>
      <c r="P472" s="8" t="str">
        <f t="shared" si="47"/>
        <v>2025</v>
      </c>
    </row>
    <row r="473" spans="1:16" x14ac:dyDescent="0.25">
      <c r="A473" s="9" t="s">
        <v>131</v>
      </c>
      <c r="B473" s="8" t="s">
        <v>11</v>
      </c>
      <c r="C473" s="8" t="s">
        <v>12</v>
      </c>
      <c r="D473" s="8" t="s">
        <v>22</v>
      </c>
      <c r="E473" s="8" t="s">
        <v>14</v>
      </c>
      <c r="F473" s="10">
        <v>8078</v>
      </c>
      <c r="G473" s="10">
        <v>5880.34</v>
      </c>
      <c r="H473" s="10">
        <v>1084.53</v>
      </c>
      <c r="I473" s="8">
        <v>499</v>
      </c>
      <c r="J473" s="11">
        <v>0.05</v>
      </c>
      <c r="K473" s="10">
        <f t="shared" si="42"/>
        <v>2197.66</v>
      </c>
      <c r="L473" s="10">
        <f t="shared" si="43"/>
        <v>1113.1299999999999</v>
      </c>
      <c r="M473" s="11">
        <f t="shared" si="44"/>
        <v>0.13779772220846742</v>
      </c>
      <c r="N473" s="8" t="str">
        <f t="shared" si="45"/>
        <v>December</v>
      </c>
      <c r="O473" s="8" t="str">
        <f t="shared" si="46"/>
        <v>Q4</v>
      </c>
      <c r="P473" s="8" t="str">
        <f t="shared" si="47"/>
        <v>2025</v>
      </c>
    </row>
    <row r="474" spans="1:16" x14ac:dyDescent="0.25">
      <c r="A474" s="9" t="s">
        <v>50</v>
      </c>
      <c r="B474" s="8" t="s">
        <v>21</v>
      </c>
      <c r="C474" s="8" t="s">
        <v>17</v>
      </c>
      <c r="D474" s="8" t="s">
        <v>27</v>
      </c>
      <c r="E474" s="8" t="s">
        <v>14</v>
      </c>
      <c r="F474" s="10">
        <v>25590</v>
      </c>
      <c r="G474" s="10">
        <v>13347.89</v>
      </c>
      <c r="H474" s="10">
        <v>3465.14</v>
      </c>
      <c r="I474" s="8">
        <v>353</v>
      </c>
      <c r="J474" s="11">
        <v>0.05</v>
      </c>
      <c r="K474" s="10">
        <f t="shared" si="42"/>
        <v>12242.11</v>
      </c>
      <c r="L474" s="10">
        <f t="shared" si="43"/>
        <v>8776.9700000000012</v>
      </c>
      <c r="M474" s="11">
        <f t="shared" si="44"/>
        <v>0.34298436889409928</v>
      </c>
      <c r="N474" s="8" t="str">
        <f t="shared" si="45"/>
        <v>December</v>
      </c>
      <c r="O474" s="8" t="str">
        <f t="shared" si="46"/>
        <v>Q4</v>
      </c>
      <c r="P474" s="8" t="str">
        <f t="shared" si="47"/>
        <v>2025</v>
      </c>
    </row>
    <row r="475" spans="1:16" x14ac:dyDescent="0.25">
      <c r="A475" s="9" t="s">
        <v>50</v>
      </c>
      <c r="B475" s="8" t="s">
        <v>24</v>
      </c>
      <c r="C475" s="8" t="s">
        <v>17</v>
      </c>
      <c r="D475" s="8" t="s">
        <v>27</v>
      </c>
      <c r="E475" s="8" t="s">
        <v>25</v>
      </c>
      <c r="F475" s="10">
        <v>39802</v>
      </c>
      <c r="G475" s="10">
        <v>20605.55</v>
      </c>
      <c r="H475" s="10">
        <v>4481.59</v>
      </c>
      <c r="I475" s="8">
        <v>61</v>
      </c>
      <c r="J475" s="11">
        <v>0.1</v>
      </c>
      <c r="K475" s="10">
        <f t="shared" si="42"/>
        <v>19196.45</v>
      </c>
      <c r="L475" s="10">
        <f t="shared" si="43"/>
        <v>14714.86</v>
      </c>
      <c r="M475" s="11">
        <f t="shared" si="44"/>
        <v>0.36970152253655597</v>
      </c>
      <c r="N475" s="8" t="str">
        <f t="shared" si="45"/>
        <v>December</v>
      </c>
      <c r="O475" s="8" t="str">
        <f t="shared" si="46"/>
        <v>Q4</v>
      </c>
      <c r="P475" s="8" t="str">
        <f t="shared" si="47"/>
        <v>2025</v>
      </c>
    </row>
    <row r="476" spans="1:16" x14ac:dyDescent="0.25">
      <c r="A476" s="9" t="s">
        <v>50</v>
      </c>
      <c r="B476" s="8" t="s">
        <v>11</v>
      </c>
      <c r="C476" s="8" t="s">
        <v>17</v>
      </c>
      <c r="D476" s="8" t="s">
        <v>13</v>
      </c>
      <c r="E476" s="8" t="s">
        <v>14</v>
      </c>
      <c r="F476" s="10">
        <v>11251</v>
      </c>
      <c r="G476" s="10">
        <v>5686.64</v>
      </c>
      <c r="H476" s="10">
        <v>1121.56</v>
      </c>
      <c r="I476" s="8">
        <v>175</v>
      </c>
      <c r="J476" s="11">
        <v>0.02</v>
      </c>
      <c r="K476" s="10">
        <f t="shared" si="42"/>
        <v>5564.36</v>
      </c>
      <c r="L476" s="10">
        <f t="shared" si="43"/>
        <v>4442.7999999999993</v>
      </c>
      <c r="M476" s="11">
        <f t="shared" si="44"/>
        <v>0.39488045507066033</v>
      </c>
      <c r="N476" s="8" t="str">
        <f t="shared" si="45"/>
        <v>December</v>
      </c>
      <c r="O476" s="8" t="str">
        <f t="shared" si="46"/>
        <v>Q4</v>
      </c>
      <c r="P476" s="8" t="str">
        <f t="shared" si="47"/>
        <v>2025</v>
      </c>
    </row>
    <row r="477" spans="1:16" x14ac:dyDescent="0.25">
      <c r="A477" s="9" t="s">
        <v>50</v>
      </c>
      <c r="B477" s="8" t="s">
        <v>16</v>
      </c>
      <c r="C477" s="8" t="s">
        <v>12</v>
      </c>
      <c r="D477" s="8" t="s">
        <v>13</v>
      </c>
      <c r="E477" s="8" t="s">
        <v>25</v>
      </c>
      <c r="F477" s="10">
        <v>27530</v>
      </c>
      <c r="G477" s="10">
        <v>19063.259999999998</v>
      </c>
      <c r="H477" s="10">
        <v>3797.99</v>
      </c>
      <c r="I477" s="8">
        <v>397</v>
      </c>
      <c r="J477" s="11">
        <v>0.15</v>
      </c>
      <c r="K477" s="10">
        <f t="shared" si="42"/>
        <v>8466.7400000000016</v>
      </c>
      <c r="L477" s="10">
        <f t="shared" si="43"/>
        <v>4668.7500000000018</v>
      </c>
      <c r="M477" s="11">
        <f t="shared" si="44"/>
        <v>0.16958772248456236</v>
      </c>
      <c r="N477" s="8" t="str">
        <f t="shared" si="45"/>
        <v>December</v>
      </c>
      <c r="O477" s="8" t="str">
        <f t="shared" si="46"/>
        <v>Q4</v>
      </c>
      <c r="P477" s="8" t="str">
        <f t="shared" si="47"/>
        <v>2025</v>
      </c>
    </row>
    <row r="478" spans="1:16" x14ac:dyDescent="0.25">
      <c r="A478" s="9" t="s">
        <v>143</v>
      </c>
      <c r="B478" s="8" t="s">
        <v>24</v>
      </c>
      <c r="C478" s="8" t="s">
        <v>12</v>
      </c>
      <c r="D478" s="8" t="s">
        <v>22</v>
      </c>
      <c r="E478" s="8" t="s">
        <v>19</v>
      </c>
      <c r="F478" s="10">
        <v>49919</v>
      </c>
      <c r="G478" s="10">
        <v>36128.1</v>
      </c>
      <c r="H478" s="10">
        <v>4646.63</v>
      </c>
      <c r="I478" s="8">
        <v>353</v>
      </c>
      <c r="J478" s="11">
        <v>0.1</v>
      </c>
      <c r="K478" s="10">
        <f t="shared" si="42"/>
        <v>13790.900000000001</v>
      </c>
      <c r="L478" s="10">
        <f t="shared" si="43"/>
        <v>9144.27</v>
      </c>
      <c r="M478" s="11">
        <f t="shared" si="44"/>
        <v>0.18318215509124783</v>
      </c>
      <c r="N478" s="8" t="str">
        <f t="shared" si="45"/>
        <v>December</v>
      </c>
      <c r="O478" s="8" t="str">
        <f t="shared" si="46"/>
        <v>Q4</v>
      </c>
      <c r="P478" s="8" t="str">
        <f t="shared" si="47"/>
        <v>2025</v>
      </c>
    </row>
    <row r="479" spans="1:16" x14ac:dyDescent="0.25">
      <c r="A479" s="9" t="s">
        <v>143</v>
      </c>
      <c r="B479" s="8" t="s">
        <v>11</v>
      </c>
      <c r="C479" s="8" t="s">
        <v>12</v>
      </c>
      <c r="D479" s="8" t="s">
        <v>13</v>
      </c>
      <c r="E479" s="8" t="s">
        <v>14</v>
      </c>
      <c r="F479" s="10">
        <v>46780</v>
      </c>
      <c r="G479" s="10">
        <v>26751.75</v>
      </c>
      <c r="H479" s="10">
        <v>7102.7</v>
      </c>
      <c r="I479" s="8">
        <v>393</v>
      </c>
      <c r="J479" s="11">
        <v>0.02</v>
      </c>
      <c r="K479" s="10">
        <f t="shared" si="42"/>
        <v>20028.25</v>
      </c>
      <c r="L479" s="10">
        <f t="shared" si="43"/>
        <v>12925.55</v>
      </c>
      <c r="M479" s="11">
        <f t="shared" si="44"/>
        <v>0.27630504489097901</v>
      </c>
      <c r="N479" s="8" t="str">
        <f t="shared" si="45"/>
        <v>December</v>
      </c>
      <c r="O479" s="8" t="str">
        <f t="shared" si="46"/>
        <v>Q4</v>
      </c>
      <c r="P479" s="8" t="str">
        <f t="shared" si="47"/>
        <v>2025</v>
      </c>
    </row>
    <row r="480" spans="1:16" x14ac:dyDescent="0.25">
      <c r="A480" s="9" t="s">
        <v>143</v>
      </c>
      <c r="B480" s="8" t="s">
        <v>24</v>
      </c>
      <c r="C480" s="8" t="s">
        <v>12</v>
      </c>
      <c r="D480" s="8" t="s">
        <v>18</v>
      </c>
      <c r="E480" s="8" t="s">
        <v>14</v>
      </c>
      <c r="F480" s="10">
        <v>41624</v>
      </c>
      <c r="G480" s="10">
        <v>21440.73</v>
      </c>
      <c r="H480" s="10">
        <v>4547.1899999999996</v>
      </c>
      <c r="I480" s="8">
        <v>474</v>
      </c>
      <c r="J480" s="11">
        <v>0.05</v>
      </c>
      <c r="K480" s="10">
        <f t="shared" si="42"/>
        <v>20183.27</v>
      </c>
      <c r="L480" s="10">
        <f t="shared" si="43"/>
        <v>15636.080000000002</v>
      </c>
      <c r="M480" s="11">
        <f t="shared" si="44"/>
        <v>0.37565058620026914</v>
      </c>
      <c r="N480" s="8" t="str">
        <f t="shared" si="45"/>
        <v>December</v>
      </c>
      <c r="O480" s="8" t="str">
        <f t="shared" si="46"/>
        <v>Q4</v>
      </c>
      <c r="P480" s="8" t="str">
        <f t="shared" si="47"/>
        <v>2025</v>
      </c>
    </row>
    <row r="481" spans="1:16" x14ac:dyDescent="0.25">
      <c r="A481" s="9" t="s">
        <v>143</v>
      </c>
      <c r="B481" s="8" t="s">
        <v>16</v>
      </c>
      <c r="C481" s="8" t="s">
        <v>12</v>
      </c>
      <c r="D481" s="8" t="s">
        <v>27</v>
      </c>
      <c r="E481" s="8" t="s">
        <v>25</v>
      </c>
      <c r="F481" s="10">
        <v>10832</v>
      </c>
      <c r="G481" s="10">
        <v>7821.4</v>
      </c>
      <c r="H481" s="10">
        <v>2133.17</v>
      </c>
      <c r="I481" s="8">
        <v>352</v>
      </c>
      <c r="J481" s="11">
        <v>0.1</v>
      </c>
      <c r="K481" s="10">
        <f t="shared" si="42"/>
        <v>3010.6000000000004</v>
      </c>
      <c r="L481" s="10">
        <f t="shared" si="43"/>
        <v>877.43000000000029</v>
      </c>
      <c r="M481" s="11">
        <f t="shared" si="44"/>
        <v>8.1003508124076834E-2</v>
      </c>
      <c r="N481" s="8" t="str">
        <f t="shared" si="45"/>
        <v>December</v>
      </c>
      <c r="O481" s="8" t="str">
        <f t="shared" si="46"/>
        <v>Q4</v>
      </c>
      <c r="P481" s="8" t="str">
        <f t="shared" si="47"/>
        <v>2025</v>
      </c>
    </row>
    <row r="482" spans="1:16" x14ac:dyDescent="0.25">
      <c r="A482" s="9" t="s">
        <v>143</v>
      </c>
      <c r="B482" s="8" t="s">
        <v>16</v>
      </c>
      <c r="C482" s="8" t="s">
        <v>17</v>
      </c>
      <c r="D482" s="8" t="s">
        <v>27</v>
      </c>
      <c r="E482" s="8" t="s">
        <v>25</v>
      </c>
      <c r="F482" s="10">
        <v>46255</v>
      </c>
      <c r="G482" s="10">
        <v>31549.360000000001</v>
      </c>
      <c r="H482" s="10">
        <v>9301.56</v>
      </c>
      <c r="I482" s="8">
        <v>227</v>
      </c>
      <c r="J482" s="11">
        <v>0</v>
      </c>
      <c r="K482" s="10">
        <f t="shared" si="42"/>
        <v>14705.64</v>
      </c>
      <c r="L482" s="10">
        <f t="shared" si="43"/>
        <v>5404.08</v>
      </c>
      <c r="M482" s="11">
        <f t="shared" si="44"/>
        <v>0.11683234244946492</v>
      </c>
      <c r="N482" s="8" t="str">
        <f t="shared" si="45"/>
        <v>December</v>
      </c>
      <c r="O482" s="8" t="str">
        <f t="shared" si="46"/>
        <v>Q4</v>
      </c>
      <c r="P482" s="8" t="str">
        <f t="shared" si="47"/>
        <v>2025</v>
      </c>
    </row>
    <row r="483" spans="1:16" x14ac:dyDescent="0.25">
      <c r="A483" s="9" t="s">
        <v>259</v>
      </c>
      <c r="B483" s="8" t="s">
        <v>16</v>
      </c>
      <c r="C483" s="8" t="s">
        <v>17</v>
      </c>
      <c r="D483" s="8" t="s">
        <v>27</v>
      </c>
      <c r="E483" s="8" t="s">
        <v>25</v>
      </c>
      <c r="F483" s="10">
        <v>43588</v>
      </c>
      <c r="G483" s="10">
        <v>21225.86</v>
      </c>
      <c r="H483" s="10">
        <v>8928.81</v>
      </c>
      <c r="I483" s="8">
        <v>244</v>
      </c>
      <c r="J483" s="11">
        <v>0.15</v>
      </c>
      <c r="K483" s="10">
        <f t="shared" si="42"/>
        <v>22362.14</v>
      </c>
      <c r="L483" s="10">
        <f t="shared" si="43"/>
        <v>13433.33</v>
      </c>
      <c r="M483" s="11">
        <f t="shared" si="44"/>
        <v>0.30818872166651373</v>
      </c>
      <c r="N483" s="8" t="str">
        <f t="shared" si="45"/>
        <v>December</v>
      </c>
      <c r="O483" s="8" t="str">
        <f t="shared" si="46"/>
        <v>Q4</v>
      </c>
      <c r="P483" s="8" t="str">
        <f t="shared" si="47"/>
        <v>2025</v>
      </c>
    </row>
    <row r="484" spans="1:16" x14ac:dyDescent="0.25">
      <c r="A484" s="9" t="s">
        <v>68</v>
      </c>
      <c r="B484" s="8" t="s">
        <v>11</v>
      </c>
      <c r="C484" s="8" t="s">
        <v>17</v>
      </c>
      <c r="D484" s="8" t="s">
        <v>22</v>
      </c>
      <c r="E484" s="8" t="s">
        <v>14</v>
      </c>
      <c r="F484" s="10">
        <v>19005</v>
      </c>
      <c r="G484" s="10">
        <v>11466.71</v>
      </c>
      <c r="H484" s="10">
        <v>3632.29</v>
      </c>
      <c r="I484" s="8">
        <v>417</v>
      </c>
      <c r="J484" s="11">
        <v>0.02</v>
      </c>
      <c r="K484" s="10">
        <f t="shared" si="42"/>
        <v>7538.2900000000009</v>
      </c>
      <c r="L484" s="10">
        <f t="shared" si="43"/>
        <v>3906.0000000000009</v>
      </c>
      <c r="M484" s="11">
        <f t="shared" si="44"/>
        <v>0.20552486187845309</v>
      </c>
      <c r="N484" s="8" t="str">
        <f t="shared" si="45"/>
        <v>December</v>
      </c>
      <c r="O484" s="8" t="str">
        <f t="shared" si="46"/>
        <v>Q4</v>
      </c>
      <c r="P484" s="8" t="str">
        <f t="shared" si="47"/>
        <v>2025</v>
      </c>
    </row>
    <row r="485" spans="1:16" x14ac:dyDescent="0.25">
      <c r="A485" s="9" t="s">
        <v>68</v>
      </c>
      <c r="B485" s="8" t="s">
        <v>24</v>
      </c>
      <c r="C485" s="8" t="s">
        <v>12</v>
      </c>
      <c r="D485" s="8" t="s">
        <v>22</v>
      </c>
      <c r="E485" s="8" t="s">
        <v>14</v>
      </c>
      <c r="F485" s="10">
        <v>18811</v>
      </c>
      <c r="G485" s="10">
        <v>10606.18</v>
      </c>
      <c r="H485" s="10">
        <v>1770.2</v>
      </c>
      <c r="I485" s="8">
        <v>195</v>
      </c>
      <c r="J485" s="11">
        <v>0.15</v>
      </c>
      <c r="K485" s="10">
        <f t="shared" si="42"/>
        <v>8204.82</v>
      </c>
      <c r="L485" s="10">
        <f t="shared" si="43"/>
        <v>6434.62</v>
      </c>
      <c r="M485" s="11">
        <f t="shared" si="44"/>
        <v>0.34206687576418054</v>
      </c>
      <c r="N485" s="8" t="str">
        <f t="shared" si="45"/>
        <v>December</v>
      </c>
      <c r="O485" s="8" t="str">
        <f t="shared" si="46"/>
        <v>Q4</v>
      </c>
      <c r="P485" s="8" t="str">
        <f t="shared" si="47"/>
        <v>2025</v>
      </c>
    </row>
    <row r="486" spans="1:16" x14ac:dyDescent="0.25">
      <c r="A486" s="9" t="s">
        <v>142</v>
      </c>
      <c r="B486" s="8" t="s">
        <v>24</v>
      </c>
      <c r="C486" s="8" t="s">
        <v>12</v>
      </c>
      <c r="D486" s="8" t="s">
        <v>13</v>
      </c>
      <c r="E486" s="8" t="s">
        <v>19</v>
      </c>
      <c r="F486" s="10">
        <v>44183</v>
      </c>
      <c r="G486" s="10">
        <v>20576.45</v>
      </c>
      <c r="H486" s="10">
        <v>7437.06</v>
      </c>
      <c r="I486" s="8">
        <v>181</v>
      </c>
      <c r="J486" s="11">
        <v>0</v>
      </c>
      <c r="K486" s="10">
        <f t="shared" si="42"/>
        <v>23606.55</v>
      </c>
      <c r="L486" s="10">
        <f t="shared" si="43"/>
        <v>16169.489999999998</v>
      </c>
      <c r="M486" s="11">
        <f t="shared" si="44"/>
        <v>0.36596632188850908</v>
      </c>
      <c r="N486" s="8" t="str">
        <f t="shared" si="45"/>
        <v>December</v>
      </c>
      <c r="O486" s="8" t="str">
        <f t="shared" si="46"/>
        <v>Q4</v>
      </c>
      <c r="P486" s="8" t="str">
        <f t="shared" si="47"/>
        <v>2025</v>
      </c>
    </row>
    <row r="487" spans="1:16" x14ac:dyDescent="0.25">
      <c r="A487" s="9" t="s">
        <v>246</v>
      </c>
      <c r="B487" s="8" t="s">
        <v>24</v>
      </c>
      <c r="C487" s="8" t="s">
        <v>17</v>
      </c>
      <c r="D487" s="8" t="s">
        <v>13</v>
      </c>
      <c r="E487" s="8" t="s">
        <v>25</v>
      </c>
      <c r="F487" s="10">
        <v>11436</v>
      </c>
      <c r="G487" s="10">
        <v>8482.64</v>
      </c>
      <c r="H487" s="10">
        <v>1279.8499999999999</v>
      </c>
      <c r="I487" s="8">
        <v>163</v>
      </c>
      <c r="J487" s="11">
        <v>0.1</v>
      </c>
      <c r="K487" s="10">
        <f t="shared" si="42"/>
        <v>2953.3600000000006</v>
      </c>
      <c r="L487" s="10">
        <f t="shared" si="43"/>
        <v>1673.5100000000007</v>
      </c>
      <c r="M487" s="11">
        <f t="shared" si="44"/>
        <v>0.14633700594613508</v>
      </c>
      <c r="N487" s="8" t="str">
        <f t="shared" si="45"/>
        <v>December</v>
      </c>
      <c r="O487" s="8" t="str">
        <f t="shared" si="46"/>
        <v>Q4</v>
      </c>
      <c r="P487" s="8" t="str">
        <f t="shared" si="47"/>
        <v>2025</v>
      </c>
    </row>
    <row r="488" spans="1:16" x14ac:dyDescent="0.25">
      <c r="A488" s="9" t="s">
        <v>267</v>
      </c>
      <c r="B488" s="8" t="s">
        <v>11</v>
      </c>
      <c r="C488" s="8" t="s">
        <v>12</v>
      </c>
      <c r="D488" s="8" t="s">
        <v>18</v>
      </c>
      <c r="E488" s="8" t="s">
        <v>19</v>
      </c>
      <c r="F488" s="10">
        <v>15076</v>
      </c>
      <c r="G488" s="10">
        <v>6891.63</v>
      </c>
      <c r="H488" s="10">
        <v>2719.13</v>
      </c>
      <c r="I488" s="8">
        <v>29</v>
      </c>
      <c r="J488" s="11">
        <v>0</v>
      </c>
      <c r="K488" s="10">
        <f t="shared" si="42"/>
        <v>8184.37</v>
      </c>
      <c r="L488" s="10">
        <f t="shared" si="43"/>
        <v>5465.24</v>
      </c>
      <c r="M488" s="11">
        <f t="shared" si="44"/>
        <v>0.3625126028124171</v>
      </c>
      <c r="N488" s="8" t="str">
        <f t="shared" si="45"/>
        <v>December</v>
      </c>
      <c r="O488" s="8" t="str">
        <f t="shared" si="46"/>
        <v>Q4</v>
      </c>
      <c r="P488" s="8" t="str">
        <f t="shared" si="47"/>
        <v>2025</v>
      </c>
    </row>
    <row r="489" spans="1:16" x14ac:dyDescent="0.25">
      <c r="A489" s="9" t="s">
        <v>98</v>
      </c>
      <c r="B489" s="8" t="s">
        <v>21</v>
      </c>
      <c r="C489" s="8" t="s">
        <v>17</v>
      </c>
      <c r="D489" s="8" t="s">
        <v>27</v>
      </c>
      <c r="E489" s="8" t="s">
        <v>25</v>
      </c>
      <c r="F489" s="10">
        <v>24928</v>
      </c>
      <c r="G489" s="10">
        <v>16450.490000000002</v>
      </c>
      <c r="H489" s="10">
        <v>5284.1</v>
      </c>
      <c r="I489" s="8">
        <v>266</v>
      </c>
      <c r="J489" s="11">
        <v>0.15</v>
      </c>
      <c r="K489" s="10">
        <f t="shared" si="42"/>
        <v>8477.5099999999984</v>
      </c>
      <c r="L489" s="10">
        <f t="shared" si="43"/>
        <v>3193.409999999998</v>
      </c>
      <c r="M489" s="11">
        <f t="shared" si="44"/>
        <v>0.12810534338896012</v>
      </c>
      <c r="N489" s="8" t="str">
        <f t="shared" si="45"/>
        <v>December</v>
      </c>
      <c r="O489" s="8" t="str">
        <f t="shared" si="46"/>
        <v>Q4</v>
      </c>
      <c r="P489" s="8" t="str">
        <f t="shared" si="47"/>
        <v>2025</v>
      </c>
    </row>
    <row r="490" spans="1:16" x14ac:dyDescent="0.25">
      <c r="A490" s="9" t="s">
        <v>158</v>
      </c>
      <c r="B490" s="8" t="s">
        <v>21</v>
      </c>
      <c r="C490" s="8" t="s">
        <v>17</v>
      </c>
      <c r="D490" s="8" t="s">
        <v>27</v>
      </c>
      <c r="E490" s="8" t="s">
        <v>14</v>
      </c>
      <c r="F490" s="10">
        <v>34091</v>
      </c>
      <c r="G490" s="10">
        <v>18936.330000000002</v>
      </c>
      <c r="H490" s="10">
        <v>2929.43</v>
      </c>
      <c r="I490" s="8">
        <v>455</v>
      </c>
      <c r="J490" s="11">
        <v>0.05</v>
      </c>
      <c r="K490" s="10">
        <f t="shared" si="42"/>
        <v>15154.669999999998</v>
      </c>
      <c r="L490" s="10">
        <f t="shared" si="43"/>
        <v>12225.239999999998</v>
      </c>
      <c r="M490" s="11">
        <f t="shared" si="44"/>
        <v>0.35860608371711</v>
      </c>
      <c r="N490" s="8" t="str">
        <f t="shared" si="45"/>
        <v>December</v>
      </c>
      <c r="O490" s="8" t="str">
        <f t="shared" si="46"/>
        <v>Q4</v>
      </c>
      <c r="P490" s="8" t="str">
        <f t="shared" si="47"/>
        <v>2025</v>
      </c>
    </row>
    <row r="491" spans="1:16" x14ac:dyDescent="0.25">
      <c r="A491" s="9" t="s">
        <v>256</v>
      </c>
      <c r="B491" s="8" t="s">
        <v>24</v>
      </c>
      <c r="C491" s="8" t="s">
        <v>12</v>
      </c>
      <c r="D491" s="8" t="s">
        <v>27</v>
      </c>
      <c r="E491" s="8" t="s">
        <v>14</v>
      </c>
      <c r="F491" s="10">
        <v>27567</v>
      </c>
      <c r="G491" s="10">
        <v>14986.18</v>
      </c>
      <c r="H491" s="10">
        <v>2601.75</v>
      </c>
      <c r="I491" s="8">
        <v>267</v>
      </c>
      <c r="J491" s="11">
        <v>0.15</v>
      </c>
      <c r="K491" s="10">
        <f t="shared" si="42"/>
        <v>12580.82</v>
      </c>
      <c r="L491" s="10">
        <f t="shared" si="43"/>
        <v>9979.07</v>
      </c>
      <c r="M491" s="11">
        <f t="shared" si="44"/>
        <v>0.36199332535277684</v>
      </c>
      <c r="N491" s="8" t="str">
        <f t="shared" si="45"/>
        <v>December</v>
      </c>
      <c r="O491" s="8" t="str">
        <f t="shared" si="46"/>
        <v>Q4</v>
      </c>
      <c r="P491" s="8" t="str">
        <f t="shared" si="47"/>
        <v>2025</v>
      </c>
    </row>
    <row r="492" spans="1:16" x14ac:dyDescent="0.25">
      <c r="A492" s="9" t="s">
        <v>66</v>
      </c>
      <c r="B492" s="8" t="s">
        <v>16</v>
      </c>
      <c r="C492" s="8" t="s">
        <v>17</v>
      </c>
      <c r="D492" s="8" t="s">
        <v>13</v>
      </c>
      <c r="E492" s="8" t="s">
        <v>25</v>
      </c>
      <c r="F492" s="10">
        <v>24376</v>
      </c>
      <c r="G492" s="10">
        <v>15023.51</v>
      </c>
      <c r="H492" s="10">
        <v>2604.7600000000002</v>
      </c>
      <c r="I492" s="8">
        <v>350</v>
      </c>
      <c r="J492" s="11">
        <v>0.1</v>
      </c>
      <c r="K492" s="10">
        <f t="shared" si="42"/>
        <v>9352.49</v>
      </c>
      <c r="L492" s="10">
        <f t="shared" si="43"/>
        <v>6747.73</v>
      </c>
      <c r="M492" s="11">
        <f t="shared" si="44"/>
        <v>0.27681859205776171</v>
      </c>
      <c r="N492" s="8" t="str">
        <f t="shared" si="45"/>
        <v>December</v>
      </c>
      <c r="O492" s="8" t="str">
        <f t="shared" si="46"/>
        <v>Q4</v>
      </c>
      <c r="P492" s="8" t="str">
        <f t="shared" si="47"/>
        <v>2025</v>
      </c>
    </row>
    <row r="493" spans="1:16" x14ac:dyDescent="0.25">
      <c r="A493" s="9" t="s">
        <v>66</v>
      </c>
      <c r="B493" s="8" t="s">
        <v>11</v>
      </c>
      <c r="C493" s="8" t="s">
        <v>17</v>
      </c>
      <c r="D493" s="8" t="s">
        <v>13</v>
      </c>
      <c r="E493" s="8" t="s">
        <v>25</v>
      </c>
      <c r="F493" s="10">
        <v>24764</v>
      </c>
      <c r="G493" s="10">
        <v>17460.8</v>
      </c>
      <c r="H493" s="10">
        <v>4062.72</v>
      </c>
      <c r="I493" s="8">
        <v>71</v>
      </c>
      <c r="J493" s="11">
        <v>0.15</v>
      </c>
      <c r="K493" s="10">
        <f t="shared" si="42"/>
        <v>7303.2000000000007</v>
      </c>
      <c r="L493" s="10">
        <f t="shared" si="43"/>
        <v>3240.4800000000009</v>
      </c>
      <c r="M493" s="11">
        <f t="shared" si="44"/>
        <v>0.13085446616055568</v>
      </c>
      <c r="N493" s="8" t="str">
        <f t="shared" si="45"/>
        <v>December</v>
      </c>
      <c r="O493" s="8" t="str">
        <f t="shared" si="46"/>
        <v>Q4</v>
      </c>
      <c r="P493" s="8" t="str">
        <f t="shared" si="47"/>
        <v>2025</v>
      </c>
    </row>
    <row r="494" spans="1:16" x14ac:dyDescent="0.25">
      <c r="A494" s="9" t="s">
        <v>66</v>
      </c>
      <c r="B494" s="8" t="s">
        <v>11</v>
      </c>
      <c r="C494" s="8" t="s">
        <v>12</v>
      </c>
      <c r="D494" s="8" t="s">
        <v>22</v>
      </c>
      <c r="E494" s="8" t="s">
        <v>14</v>
      </c>
      <c r="F494" s="10">
        <v>14095</v>
      </c>
      <c r="G494" s="10">
        <v>9551.51</v>
      </c>
      <c r="H494" s="10">
        <v>2053.3000000000002</v>
      </c>
      <c r="I494" s="8">
        <v>325</v>
      </c>
      <c r="J494" s="11">
        <v>0</v>
      </c>
      <c r="K494" s="10">
        <f t="shared" si="42"/>
        <v>4543.49</v>
      </c>
      <c r="L494" s="10">
        <f t="shared" si="43"/>
        <v>2490.1899999999996</v>
      </c>
      <c r="M494" s="11">
        <f t="shared" si="44"/>
        <v>0.17667186945725433</v>
      </c>
      <c r="N494" s="8" t="str">
        <f t="shared" si="45"/>
        <v>December</v>
      </c>
      <c r="O494" s="8" t="str">
        <f t="shared" si="46"/>
        <v>Q4</v>
      </c>
      <c r="P494" s="8" t="str">
        <f t="shared" si="47"/>
        <v>2025</v>
      </c>
    </row>
    <row r="495" spans="1:16" x14ac:dyDescent="0.25">
      <c r="A495" s="9" t="s">
        <v>83</v>
      </c>
      <c r="B495" s="8" t="s">
        <v>16</v>
      </c>
      <c r="C495" s="8" t="s">
        <v>17</v>
      </c>
      <c r="D495" s="8" t="s">
        <v>27</v>
      </c>
      <c r="E495" s="8" t="s">
        <v>25</v>
      </c>
      <c r="F495" s="10">
        <v>21793</v>
      </c>
      <c r="G495" s="10">
        <v>14820.75</v>
      </c>
      <c r="H495" s="10">
        <v>2255.37</v>
      </c>
      <c r="I495" s="8">
        <v>320</v>
      </c>
      <c r="J495" s="11">
        <v>0</v>
      </c>
      <c r="K495" s="10">
        <f t="shared" si="42"/>
        <v>6972.25</v>
      </c>
      <c r="L495" s="10">
        <f t="shared" si="43"/>
        <v>4716.88</v>
      </c>
      <c r="M495" s="11">
        <f t="shared" si="44"/>
        <v>0.21644014132978479</v>
      </c>
      <c r="N495" s="8" t="str">
        <f t="shared" si="45"/>
        <v>December</v>
      </c>
      <c r="O495" s="8" t="str">
        <f t="shared" si="46"/>
        <v>Q4</v>
      </c>
      <c r="P495" s="8" t="str">
        <f t="shared" si="47"/>
        <v>2025</v>
      </c>
    </row>
    <row r="496" spans="1:16" x14ac:dyDescent="0.25">
      <c r="A496" s="9" t="s">
        <v>83</v>
      </c>
      <c r="B496" s="8" t="s">
        <v>16</v>
      </c>
      <c r="C496" s="8" t="s">
        <v>17</v>
      </c>
      <c r="D496" s="8" t="s">
        <v>27</v>
      </c>
      <c r="E496" s="8" t="s">
        <v>14</v>
      </c>
      <c r="F496" s="10">
        <v>20344</v>
      </c>
      <c r="G496" s="10">
        <v>11774.48</v>
      </c>
      <c r="H496" s="10">
        <v>1887.27</v>
      </c>
      <c r="I496" s="8">
        <v>58</v>
      </c>
      <c r="J496" s="11">
        <v>0</v>
      </c>
      <c r="K496" s="10">
        <f t="shared" si="42"/>
        <v>8569.52</v>
      </c>
      <c r="L496" s="10">
        <f t="shared" si="43"/>
        <v>6682.25</v>
      </c>
      <c r="M496" s="11">
        <f t="shared" si="44"/>
        <v>0.32846293747542271</v>
      </c>
      <c r="N496" s="8" t="str">
        <f t="shared" si="45"/>
        <v>December</v>
      </c>
      <c r="O496" s="8" t="str">
        <f t="shared" si="46"/>
        <v>Q4</v>
      </c>
      <c r="P496" s="8" t="str">
        <f t="shared" si="47"/>
        <v>2025</v>
      </c>
    </row>
    <row r="497" spans="1:16" x14ac:dyDescent="0.25">
      <c r="A497" s="9" t="s">
        <v>56</v>
      </c>
      <c r="B497" s="8" t="s">
        <v>11</v>
      </c>
      <c r="C497" s="8" t="s">
        <v>17</v>
      </c>
      <c r="D497" s="8" t="s">
        <v>18</v>
      </c>
      <c r="E497" s="8" t="s">
        <v>19</v>
      </c>
      <c r="F497" s="10">
        <v>33028</v>
      </c>
      <c r="G497" s="10">
        <v>20420.29</v>
      </c>
      <c r="H497" s="10">
        <v>3159.54</v>
      </c>
      <c r="I497" s="8">
        <v>493</v>
      </c>
      <c r="J497" s="11">
        <v>0.02</v>
      </c>
      <c r="K497" s="10">
        <f t="shared" si="42"/>
        <v>12607.71</v>
      </c>
      <c r="L497" s="10">
        <f t="shared" si="43"/>
        <v>9448.1699999999983</v>
      </c>
      <c r="M497" s="11">
        <f t="shared" si="44"/>
        <v>0.28606545961002783</v>
      </c>
      <c r="N497" s="8" t="str">
        <f t="shared" si="45"/>
        <v>December</v>
      </c>
      <c r="O497" s="8" t="str">
        <f t="shared" si="46"/>
        <v>Q4</v>
      </c>
      <c r="P497" s="8" t="str">
        <f t="shared" si="47"/>
        <v>2025</v>
      </c>
    </row>
    <row r="498" spans="1:16" x14ac:dyDescent="0.25">
      <c r="A498" s="9" t="s">
        <v>41</v>
      </c>
      <c r="B498" s="8" t="s">
        <v>11</v>
      </c>
      <c r="C498" s="8" t="s">
        <v>12</v>
      </c>
      <c r="D498" s="8" t="s">
        <v>22</v>
      </c>
      <c r="E498" s="8" t="s">
        <v>25</v>
      </c>
      <c r="F498" s="10">
        <v>46359</v>
      </c>
      <c r="G498" s="10">
        <v>21680.35</v>
      </c>
      <c r="H498" s="10">
        <v>4146.17</v>
      </c>
      <c r="I498" s="8">
        <v>26</v>
      </c>
      <c r="J498" s="11">
        <v>0.05</v>
      </c>
      <c r="K498" s="10">
        <f t="shared" si="42"/>
        <v>24678.65</v>
      </c>
      <c r="L498" s="10">
        <f t="shared" si="43"/>
        <v>20532.480000000003</v>
      </c>
      <c r="M498" s="11">
        <f t="shared" si="44"/>
        <v>0.44290170193489942</v>
      </c>
      <c r="N498" s="8" t="str">
        <f t="shared" si="45"/>
        <v>December</v>
      </c>
      <c r="O498" s="8" t="str">
        <f t="shared" si="46"/>
        <v>Q4</v>
      </c>
      <c r="P498" s="8" t="str">
        <f t="shared" si="47"/>
        <v>2025</v>
      </c>
    </row>
    <row r="499" spans="1:16" x14ac:dyDescent="0.25">
      <c r="A499" s="9" t="s">
        <v>41</v>
      </c>
      <c r="B499" s="8" t="s">
        <v>16</v>
      </c>
      <c r="C499" s="8" t="s">
        <v>17</v>
      </c>
      <c r="D499" s="8" t="s">
        <v>13</v>
      </c>
      <c r="E499" s="8" t="s">
        <v>14</v>
      </c>
      <c r="F499" s="10">
        <v>25831</v>
      </c>
      <c r="G499" s="10">
        <v>15695.39</v>
      </c>
      <c r="H499" s="10">
        <v>5527.27</v>
      </c>
      <c r="I499" s="8">
        <v>276</v>
      </c>
      <c r="J499" s="11">
        <v>0</v>
      </c>
      <c r="K499" s="10">
        <f t="shared" si="42"/>
        <v>10135.61</v>
      </c>
      <c r="L499" s="10">
        <f t="shared" si="43"/>
        <v>4608.34</v>
      </c>
      <c r="M499" s="11">
        <f t="shared" si="44"/>
        <v>0.17840346870039875</v>
      </c>
      <c r="N499" s="8" t="str">
        <f t="shared" si="45"/>
        <v>December</v>
      </c>
      <c r="O499" s="8" t="str">
        <f t="shared" si="46"/>
        <v>Q4</v>
      </c>
      <c r="P499" s="8" t="str">
        <f t="shared" si="47"/>
        <v>2025</v>
      </c>
    </row>
    <row r="500" spans="1:16" x14ac:dyDescent="0.25">
      <c r="A500" s="9" t="s">
        <v>209</v>
      </c>
      <c r="B500" s="8" t="s">
        <v>16</v>
      </c>
      <c r="C500" s="8" t="s">
        <v>12</v>
      </c>
      <c r="D500" s="8" t="s">
        <v>18</v>
      </c>
      <c r="E500" s="8" t="s">
        <v>19</v>
      </c>
      <c r="F500" s="10">
        <v>12542</v>
      </c>
      <c r="G500" s="10">
        <v>5728.88</v>
      </c>
      <c r="H500" s="10">
        <v>1605.76</v>
      </c>
      <c r="I500" s="8">
        <v>65</v>
      </c>
      <c r="J500" s="11">
        <v>0.02</v>
      </c>
      <c r="K500" s="10">
        <f t="shared" si="42"/>
        <v>6813.12</v>
      </c>
      <c r="L500" s="10">
        <f t="shared" si="43"/>
        <v>5207.3599999999997</v>
      </c>
      <c r="M500" s="11">
        <f t="shared" si="44"/>
        <v>0.41519374900334871</v>
      </c>
      <c r="N500" s="8" t="str">
        <f t="shared" si="45"/>
        <v>December</v>
      </c>
      <c r="O500" s="8" t="str">
        <f t="shared" si="46"/>
        <v>Q4</v>
      </c>
      <c r="P500" s="8" t="str">
        <f t="shared" si="47"/>
        <v>2025</v>
      </c>
    </row>
    <row r="501" spans="1:16" x14ac:dyDescent="0.25">
      <c r="A501" s="9" t="s">
        <v>209</v>
      </c>
      <c r="B501" s="8" t="s">
        <v>16</v>
      </c>
      <c r="C501" s="8" t="s">
        <v>17</v>
      </c>
      <c r="D501" s="8" t="s">
        <v>13</v>
      </c>
      <c r="E501" s="8" t="s">
        <v>19</v>
      </c>
      <c r="F501" s="10">
        <v>5466</v>
      </c>
      <c r="G501" s="10">
        <v>3407.48</v>
      </c>
      <c r="H501" s="10">
        <v>527.45000000000005</v>
      </c>
      <c r="I501" s="8">
        <v>13</v>
      </c>
      <c r="J501" s="11">
        <v>0.1</v>
      </c>
      <c r="K501" s="10">
        <f t="shared" si="42"/>
        <v>2058.52</v>
      </c>
      <c r="L501" s="10">
        <f t="shared" si="43"/>
        <v>1531.07</v>
      </c>
      <c r="M501" s="11">
        <f t="shared" si="44"/>
        <v>0.28010793999268202</v>
      </c>
      <c r="N501" s="8" t="str">
        <f t="shared" si="45"/>
        <v>December</v>
      </c>
      <c r="O501" s="8" t="str">
        <f t="shared" si="46"/>
        <v>Q4</v>
      </c>
      <c r="P501" s="8" t="str">
        <f t="shared" si="47"/>
        <v>2025</v>
      </c>
    </row>
    <row r="502" spans="1:16" x14ac:dyDescent="0.25">
      <c r="G502" s="2"/>
      <c r="H502" s="2"/>
      <c r="I502" s="2"/>
      <c r="J502" s="2"/>
      <c r="K502" s="2"/>
      <c r="L502" s="2"/>
      <c r="M502" s="2"/>
    </row>
  </sheetData>
  <sortState xmlns:xlrd2="http://schemas.microsoft.com/office/spreadsheetml/2017/richdata2" ref="A2:J501">
    <sortCondition ref="A1:A5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3C72-74BB-4EFA-B6CF-06135DDE25A1}">
  <dimension ref="A1:B6"/>
  <sheetViews>
    <sheetView workbookViewId="0">
      <selection activeCell="E15" sqref="E15"/>
    </sheetView>
  </sheetViews>
  <sheetFormatPr defaultRowHeight="15" x14ac:dyDescent="0.25"/>
  <cols>
    <col min="1" max="1" width="18.7109375" bestFit="1" customWidth="1"/>
    <col min="2" max="2" width="20.28515625" customWidth="1"/>
  </cols>
  <sheetData>
    <row r="1" spans="1:2" x14ac:dyDescent="0.25">
      <c r="A1" s="5" t="s">
        <v>281</v>
      </c>
      <c r="B1" s="5" t="s">
        <v>282</v>
      </c>
    </row>
    <row r="2" spans="1:2" x14ac:dyDescent="0.25">
      <c r="A2" s="8" t="s">
        <v>283</v>
      </c>
      <c r="B2" s="8">
        <f>SUM([1]Transactions!F2:F501)-SUM([1]Transactions!G2:G501)</f>
        <v>5430267.8499999959</v>
      </c>
    </row>
    <row r="3" spans="1:2" x14ac:dyDescent="0.25">
      <c r="A3" s="8" t="s">
        <v>284</v>
      </c>
      <c r="B3" s="8">
        <f>SUM([1]Transactions!F2:F501)-SUM([1]Transactions!G2:G501)-SUM([1]Transactions!H2:H501)</f>
        <v>3344046.3699999964</v>
      </c>
    </row>
    <row r="4" spans="1:2" x14ac:dyDescent="0.25">
      <c r="A4" s="8" t="s">
        <v>5</v>
      </c>
      <c r="B4" s="8">
        <f>SUM([1]Transactions!F2:F501)</f>
        <v>13547073</v>
      </c>
    </row>
    <row r="5" spans="1:2" x14ac:dyDescent="0.25">
      <c r="A5" s="8" t="s">
        <v>285</v>
      </c>
      <c r="B5" s="8">
        <f>(B2/B4)</f>
        <v>0.4008443632067234</v>
      </c>
    </row>
    <row r="6" spans="1:2" x14ac:dyDescent="0.25">
      <c r="A6" s="8" t="s">
        <v>286</v>
      </c>
      <c r="B6" s="8">
        <f>(B3/B4)</f>
        <v>0.24684641250549078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A3083-92C9-4B43-A9DD-30369DE2AD65}">
  <dimension ref="A3:F31"/>
  <sheetViews>
    <sheetView workbookViewId="0"/>
  </sheetViews>
  <sheetFormatPr defaultRowHeight="15" x14ac:dyDescent="0.25"/>
  <cols>
    <col min="1" max="1" width="13.42578125" bestFit="1" customWidth="1"/>
    <col min="2" max="2" width="18.7109375" bestFit="1" customWidth="1"/>
    <col min="3" max="3" width="16.85546875" bestFit="1" customWidth="1"/>
    <col min="4" max="4" width="13.42578125" bestFit="1" customWidth="1"/>
    <col min="5" max="5" width="15.85546875" bestFit="1" customWidth="1"/>
    <col min="6" max="9" width="22.85546875" bestFit="1" customWidth="1"/>
    <col min="10" max="10" width="20.85546875" bestFit="1" customWidth="1"/>
    <col min="11" max="12" width="27.85546875" bestFit="1" customWidth="1"/>
    <col min="13" max="499" width="16.85546875" bestFit="1" customWidth="1"/>
    <col min="500" max="500" width="12.140625" bestFit="1" customWidth="1"/>
  </cols>
  <sheetData>
    <row r="3" spans="1:6" x14ac:dyDescent="0.25">
      <c r="A3" s="13" t="s">
        <v>294</v>
      </c>
      <c r="B3" t="s">
        <v>295</v>
      </c>
      <c r="D3" s="13" t="s">
        <v>294</v>
      </c>
      <c r="E3" t="s">
        <v>295</v>
      </c>
    </row>
    <row r="4" spans="1:6" x14ac:dyDescent="0.25">
      <c r="A4" s="14" t="s">
        <v>24</v>
      </c>
      <c r="B4" s="2">
        <v>3458830</v>
      </c>
      <c r="D4" s="14" t="s">
        <v>27</v>
      </c>
      <c r="E4" s="2">
        <v>3566602</v>
      </c>
    </row>
    <row r="5" spans="1:6" x14ac:dyDescent="0.25">
      <c r="A5" s="14" t="s">
        <v>11</v>
      </c>
      <c r="B5" s="2">
        <v>3348591</v>
      </c>
      <c r="D5" s="14" t="s">
        <v>18</v>
      </c>
      <c r="E5" s="2">
        <v>2875241</v>
      </c>
    </row>
    <row r="6" spans="1:6" x14ac:dyDescent="0.25">
      <c r="A6" s="14" t="s">
        <v>16</v>
      </c>
      <c r="B6" s="2">
        <v>3353644</v>
      </c>
      <c r="D6" s="14" t="s">
        <v>13</v>
      </c>
      <c r="E6" s="2">
        <v>3718231</v>
      </c>
    </row>
    <row r="7" spans="1:6" x14ac:dyDescent="0.25">
      <c r="A7" s="14" t="s">
        <v>21</v>
      </c>
      <c r="B7" s="2">
        <v>3386008</v>
      </c>
      <c r="D7" s="14" t="s">
        <v>22</v>
      </c>
      <c r="E7" s="2">
        <v>3386999</v>
      </c>
    </row>
    <row r="8" spans="1:6" x14ac:dyDescent="0.25">
      <c r="A8" s="14" t="s">
        <v>293</v>
      </c>
      <c r="B8" s="2">
        <v>13547073</v>
      </c>
      <c r="D8" s="14" t="s">
        <v>293</v>
      </c>
      <c r="E8" s="2">
        <v>13547073</v>
      </c>
    </row>
    <row r="11" spans="1:6" x14ac:dyDescent="0.25">
      <c r="A11" s="13" t="s">
        <v>294</v>
      </c>
      <c r="B11" t="s">
        <v>296</v>
      </c>
      <c r="D11" s="13" t="s">
        <v>294</v>
      </c>
      <c r="E11" t="s">
        <v>295</v>
      </c>
      <c r="F11" t="s">
        <v>297</v>
      </c>
    </row>
    <row r="12" spans="1:6" x14ac:dyDescent="0.25">
      <c r="A12" s="14" t="s">
        <v>17</v>
      </c>
      <c r="B12" s="2">
        <v>2612886.1599999988</v>
      </c>
      <c r="D12" s="14" t="s">
        <v>25</v>
      </c>
      <c r="E12" s="2">
        <v>4416535</v>
      </c>
      <c r="F12" s="2">
        <v>1076124.7000000002</v>
      </c>
    </row>
    <row r="13" spans="1:6" x14ac:dyDescent="0.25">
      <c r="A13" s="14" t="s">
        <v>12</v>
      </c>
      <c r="B13" s="2">
        <v>2817381.689999999</v>
      </c>
      <c r="D13" s="14" t="s">
        <v>19</v>
      </c>
      <c r="E13" s="2">
        <v>4414834</v>
      </c>
      <c r="F13" s="2">
        <v>1047820.1400000001</v>
      </c>
    </row>
    <row r="14" spans="1:6" x14ac:dyDescent="0.25">
      <c r="A14" s="14" t="s">
        <v>293</v>
      </c>
      <c r="B14" s="2">
        <v>5430267.8499999978</v>
      </c>
      <c r="D14" s="14" t="s">
        <v>14</v>
      </c>
      <c r="E14" s="2">
        <v>4715704</v>
      </c>
      <c r="F14" s="2">
        <v>1220101.53</v>
      </c>
    </row>
    <row r="15" spans="1:6" x14ac:dyDescent="0.25">
      <c r="D15" s="14" t="s">
        <v>293</v>
      </c>
      <c r="E15" s="2">
        <v>13547073</v>
      </c>
      <c r="F15" s="2">
        <v>3344046.37</v>
      </c>
    </row>
    <row r="18" spans="4:6" x14ac:dyDescent="0.25">
      <c r="D18" s="13" t="s">
        <v>294</v>
      </c>
      <c r="E18" t="s">
        <v>295</v>
      </c>
      <c r="F18" t="s">
        <v>297</v>
      </c>
    </row>
    <row r="19" spans="4:6" x14ac:dyDescent="0.25">
      <c r="D19" s="14" t="s">
        <v>298</v>
      </c>
      <c r="E19" s="2">
        <v>830101</v>
      </c>
      <c r="F19" s="2">
        <v>210230.03000000003</v>
      </c>
    </row>
    <row r="20" spans="4:6" x14ac:dyDescent="0.25">
      <c r="D20" s="14" t="s">
        <v>299</v>
      </c>
      <c r="E20" s="2">
        <v>1280149</v>
      </c>
      <c r="F20" s="2">
        <v>295664.97000000003</v>
      </c>
    </row>
    <row r="21" spans="4:6" x14ac:dyDescent="0.25">
      <c r="D21" s="14" t="s">
        <v>300</v>
      </c>
      <c r="E21" s="2">
        <v>1148255</v>
      </c>
      <c r="F21" s="2">
        <v>282781.51</v>
      </c>
    </row>
    <row r="22" spans="4:6" x14ac:dyDescent="0.25">
      <c r="D22" s="14" t="s">
        <v>301</v>
      </c>
      <c r="E22" s="2">
        <v>1220233</v>
      </c>
      <c r="F22" s="2">
        <v>322099.20000000001</v>
      </c>
    </row>
    <row r="23" spans="4:6" x14ac:dyDescent="0.25">
      <c r="D23" s="14" t="s">
        <v>302</v>
      </c>
      <c r="E23" s="2">
        <v>1162532</v>
      </c>
      <c r="F23" s="2">
        <v>278856.23</v>
      </c>
    </row>
    <row r="24" spans="4:6" x14ac:dyDescent="0.25">
      <c r="D24" s="14" t="s">
        <v>303</v>
      </c>
      <c r="E24" s="2">
        <v>819327</v>
      </c>
      <c r="F24" s="2">
        <v>214318.62999999998</v>
      </c>
    </row>
    <row r="25" spans="4:6" x14ac:dyDescent="0.25">
      <c r="D25" s="14" t="s">
        <v>304</v>
      </c>
      <c r="E25" s="2">
        <v>1531656</v>
      </c>
      <c r="F25" s="2">
        <v>354287.20999999996</v>
      </c>
    </row>
    <row r="26" spans="4:6" x14ac:dyDescent="0.25">
      <c r="D26" s="14" t="s">
        <v>305</v>
      </c>
      <c r="E26" s="2">
        <v>1029786</v>
      </c>
      <c r="F26" s="2">
        <v>237386.21</v>
      </c>
    </row>
    <row r="27" spans="4:6" x14ac:dyDescent="0.25">
      <c r="D27" s="14" t="s">
        <v>306</v>
      </c>
      <c r="E27" s="2">
        <v>979455</v>
      </c>
      <c r="F27" s="2">
        <v>255882.62</v>
      </c>
    </row>
    <row r="28" spans="4:6" x14ac:dyDescent="0.25">
      <c r="D28" s="14" t="s">
        <v>307</v>
      </c>
      <c r="E28" s="2">
        <v>1289423</v>
      </c>
      <c r="F28" s="2">
        <v>326201.53000000003</v>
      </c>
    </row>
    <row r="29" spans="4:6" x14ac:dyDescent="0.25">
      <c r="D29" s="14" t="s">
        <v>308</v>
      </c>
      <c r="E29" s="2">
        <v>904483</v>
      </c>
      <c r="F29" s="2">
        <v>207242.32000000004</v>
      </c>
    </row>
    <row r="30" spans="4:6" x14ac:dyDescent="0.25">
      <c r="D30" s="14" t="s">
        <v>309</v>
      </c>
      <c r="E30" s="2">
        <v>1351673</v>
      </c>
      <c r="F30" s="2">
        <v>359095.90999999986</v>
      </c>
    </row>
    <row r="31" spans="4:6" x14ac:dyDescent="0.25">
      <c r="D31" s="14" t="s">
        <v>293</v>
      </c>
      <c r="E31" s="2">
        <v>13547073</v>
      </c>
      <c r="F31" s="2">
        <v>3344046.3699999992</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6E99C-A2AB-4D3A-B459-16B1691651E6}">
  <dimension ref="A2:O51"/>
  <sheetViews>
    <sheetView tabSelected="1" zoomScale="106" zoomScaleNormal="106" workbookViewId="0"/>
  </sheetViews>
  <sheetFormatPr defaultRowHeight="15" x14ac:dyDescent="0.25"/>
  <sheetData>
    <row r="2" spans="1:15" x14ac:dyDescent="0.25">
      <c r="A2" s="16" t="s">
        <v>310</v>
      </c>
      <c r="B2" s="16"/>
      <c r="C2" s="16"/>
      <c r="D2" s="16"/>
      <c r="E2" s="16"/>
      <c r="F2" s="16"/>
      <c r="G2" s="16"/>
      <c r="H2" s="16"/>
      <c r="I2" s="16"/>
      <c r="J2" s="16"/>
      <c r="K2" s="16"/>
      <c r="L2" s="16"/>
      <c r="M2" s="16"/>
      <c r="N2" s="16"/>
      <c r="O2" s="16"/>
    </row>
    <row r="3" spans="1:15" x14ac:dyDescent="0.25">
      <c r="A3" s="16"/>
      <c r="B3" s="16"/>
      <c r="C3" s="16"/>
      <c r="D3" s="16"/>
      <c r="E3" s="16"/>
      <c r="F3" s="16"/>
      <c r="G3" s="16"/>
      <c r="H3" s="16"/>
      <c r="I3" s="16"/>
      <c r="J3" s="16"/>
      <c r="K3" s="16"/>
      <c r="L3" s="16"/>
      <c r="M3" s="16"/>
      <c r="N3" s="16"/>
      <c r="O3" s="16"/>
    </row>
    <row r="4" spans="1:15" x14ac:dyDescent="0.25">
      <c r="A4" s="16"/>
      <c r="B4" s="16"/>
      <c r="C4" s="16"/>
      <c r="D4" s="16"/>
      <c r="E4" s="16"/>
      <c r="F4" s="16"/>
      <c r="G4" s="16"/>
      <c r="H4" s="16"/>
      <c r="I4" s="16"/>
      <c r="J4" s="16"/>
      <c r="K4" s="16"/>
      <c r="L4" s="16"/>
      <c r="M4" s="16"/>
      <c r="N4" s="16"/>
      <c r="O4" s="16"/>
    </row>
    <row r="5" spans="1:15" x14ac:dyDescent="0.25">
      <c r="A5" s="16"/>
      <c r="B5" s="16"/>
      <c r="C5" s="16"/>
      <c r="D5" s="16"/>
      <c r="E5" s="16"/>
      <c r="F5" s="16"/>
      <c r="G5" s="16"/>
      <c r="H5" s="16"/>
      <c r="I5" s="16"/>
      <c r="J5" s="16"/>
      <c r="K5" s="16"/>
      <c r="L5" s="16"/>
      <c r="M5" s="16"/>
      <c r="N5" s="16"/>
      <c r="O5" s="16"/>
    </row>
    <row r="6" spans="1:15" x14ac:dyDescent="0.25">
      <c r="A6" s="16"/>
      <c r="B6" s="16"/>
      <c r="C6" s="16"/>
      <c r="D6" s="16"/>
      <c r="E6" s="16"/>
      <c r="F6" s="16"/>
      <c r="G6" s="16"/>
      <c r="H6" s="16"/>
      <c r="I6" s="16"/>
      <c r="J6" s="16"/>
      <c r="K6" s="16"/>
      <c r="L6" s="16"/>
      <c r="M6" s="16"/>
      <c r="N6" s="16"/>
      <c r="O6" s="16"/>
    </row>
    <row r="7" spans="1:15" x14ac:dyDescent="0.25">
      <c r="A7" s="16"/>
      <c r="B7" s="16"/>
      <c r="C7" s="16"/>
      <c r="D7" s="16"/>
      <c r="E7" s="16"/>
      <c r="F7" s="16"/>
      <c r="G7" s="16"/>
      <c r="H7" s="16"/>
      <c r="I7" s="16"/>
      <c r="J7" s="16"/>
      <c r="K7" s="16"/>
      <c r="L7" s="16"/>
      <c r="M7" s="16"/>
      <c r="N7" s="16"/>
      <c r="O7" s="16"/>
    </row>
    <row r="8" spans="1:15" x14ac:dyDescent="0.25">
      <c r="A8" s="16"/>
      <c r="B8" s="16"/>
      <c r="C8" s="16"/>
      <c r="D8" s="16"/>
      <c r="E8" s="16"/>
      <c r="F8" s="16"/>
      <c r="G8" s="16"/>
      <c r="H8" s="16"/>
      <c r="I8" s="16"/>
      <c r="J8" s="16"/>
      <c r="K8" s="16"/>
      <c r="L8" s="16"/>
      <c r="M8" s="16"/>
      <c r="N8" s="16"/>
      <c r="O8" s="16"/>
    </row>
    <row r="9" spans="1:15" x14ac:dyDescent="0.25">
      <c r="A9" s="16"/>
      <c r="B9" s="16"/>
      <c r="C9" s="16"/>
      <c r="D9" s="16"/>
      <c r="E9" s="16"/>
      <c r="F9" s="16"/>
      <c r="G9" s="16"/>
      <c r="H9" s="16"/>
      <c r="I9" s="16"/>
      <c r="J9" s="16"/>
      <c r="K9" s="16"/>
      <c r="L9" s="16"/>
      <c r="M9" s="16"/>
      <c r="N9" s="16"/>
      <c r="O9" s="16"/>
    </row>
    <row r="11" spans="1:15" x14ac:dyDescent="0.25">
      <c r="B11" s="15"/>
      <c r="C11" s="15"/>
      <c r="D11" s="15"/>
      <c r="E11" s="15"/>
      <c r="F11" s="15"/>
      <c r="G11" s="15"/>
      <c r="H11" s="15"/>
      <c r="I11" s="15"/>
      <c r="J11" s="15"/>
      <c r="K11" s="15"/>
      <c r="L11" s="15"/>
      <c r="M11" s="15"/>
      <c r="N11" s="15"/>
    </row>
    <row r="12" spans="1:15" x14ac:dyDescent="0.25">
      <c r="B12" s="15"/>
      <c r="C12" s="15"/>
      <c r="D12" s="15"/>
      <c r="E12" s="15"/>
      <c r="F12" s="15"/>
      <c r="G12" s="15"/>
      <c r="H12" s="15"/>
      <c r="I12" s="15"/>
      <c r="J12" s="15"/>
      <c r="K12" s="15"/>
      <c r="L12" s="15"/>
      <c r="M12" s="15"/>
      <c r="N12" s="15"/>
    </row>
    <row r="13" spans="1:15" x14ac:dyDescent="0.25">
      <c r="B13" s="15"/>
      <c r="C13" s="15"/>
      <c r="D13" s="15"/>
      <c r="E13" s="15"/>
      <c r="F13" s="15"/>
      <c r="G13" s="15"/>
      <c r="H13" s="15"/>
      <c r="I13" s="15"/>
      <c r="J13" s="15"/>
      <c r="K13" s="15"/>
      <c r="L13" s="15"/>
      <c r="M13" s="15"/>
      <c r="N13" s="15"/>
    </row>
    <row r="14" spans="1:15" x14ac:dyDescent="0.25">
      <c r="B14" s="15"/>
      <c r="C14" s="15"/>
      <c r="D14" s="15"/>
      <c r="E14" s="15"/>
      <c r="F14" s="15"/>
      <c r="G14" s="15"/>
      <c r="H14" s="15"/>
      <c r="I14" s="15"/>
      <c r="J14" s="15"/>
      <c r="K14" s="15"/>
      <c r="L14" s="15"/>
      <c r="M14" s="15"/>
      <c r="N14" s="15"/>
    </row>
    <row r="15" spans="1:15" x14ac:dyDescent="0.25">
      <c r="B15" s="15"/>
      <c r="C15" s="15"/>
      <c r="D15" s="15"/>
      <c r="E15" s="15"/>
      <c r="F15" s="15"/>
      <c r="G15" s="15"/>
      <c r="H15" s="15"/>
      <c r="I15" s="15"/>
      <c r="J15" s="15"/>
      <c r="K15" s="15"/>
      <c r="L15" s="15"/>
      <c r="M15" s="15"/>
      <c r="N15" s="15"/>
    </row>
    <row r="16" spans="1:15" x14ac:dyDescent="0.25">
      <c r="B16" s="15"/>
      <c r="C16" s="15"/>
      <c r="D16" s="15"/>
      <c r="E16" s="15"/>
      <c r="F16" s="15"/>
      <c r="G16" s="15"/>
      <c r="H16" s="15"/>
      <c r="I16" s="15"/>
      <c r="J16" s="15"/>
      <c r="K16" s="15"/>
      <c r="L16" s="15"/>
      <c r="M16" s="15"/>
      <c r="N16" s="15"/>
    </row>
    <row r="17" spans="2:14" x14ac:dyDescent="0.25">
      <c r="B17" s="15"/>
      <c r="C17" s="15"/>
      <c r="D17" s="15"/>
      <c r="E17" s="15"/>
      <c r="F17" s="15"/>
      <c r="G17" s="15"/>
      <c r="H17" s="15"/>
      <c r="I17" s="15"/>
      <c r="J17" s="15"/>
      <c r="K17" s="15"/>
      <c r="L17" s="15"/>
      <c r="M17" s="15"/>
      <c r="N17" s="15"/>
    </row>
    <row r="18" spans="2:14" x14ac:dyDescent="0.25">
      <c r="B18" s="15"/>
      <c r="C18" s="15"/>
      <c r="D18" s="15"/>
      <c r="E18" s="15"/>
      <c r="F18" s="15"/>
      <c r="G18" s="15"/>
      <c r="H18" s="15"/>
      <c r="I18" s="15"/>
      <c r="J18" s="15"/>
      <c r="K18" s="15"/>
      <c r="L18" s="15"/>
      <c r="M18" s="15"/>
      <c r="N18" s="15"/>
    </row>
    <row r="19" spans="2:14" x14ac:dyDescent="0.25">
      <c r="B19" s="15"/>
      <c r="C19" s="15"/>
      <c r="D19" s="15"/>
      <c r="E19" s="15"/>
      <c r="F19" s="15"/>
      <c r="G19" s="15"/>
      <c r="H19" s="15"/>
      <c r="I19" s="15"/>
      <c r="J19" s="15"/>
      <c r="K19" s="15"/>
      <c r="L19" s="15"/>
      <c r="M19" s="15"/>
      <c r="N19" s="15"/>
    </row>
    <row r="20" spans="2:14" x14ac:dyDescent="0.25">
      <c r="B20" s="15"/>
      <c r="C20" s="15"/>
      <c r="D20" s="15"/>
      <c r="E20" s="15"/>
      <c r="F20" s="15"/>
      <c r="G20" s="15"/>
      <c r="H20" s="15"/>
      <c r="I20" s="15"/>
      <c r="J20" s="15"/>
      <c r="K20" s="15"/>
      <c r="L20" s="15"/>
      <c r="M20" s="15"/>
      <c r="N20" s="15"/>
    </row>
    <row r="21" spans="2:14" x14ac:dyDescent="0.25">
      <c r="B21" s="15"/>
      <c r="C21" s="15"/>
      <c r="D21" s="15"/>
      <c r="E21" s="15"/>
      <c r="F21" s="15"/>
      <c r="G21" s="15"/>
      <c r="H21" s="15"/>
      <c r="I21" s="15"/>
      <c r="J21" s="15"/>
      <c r="K21" s="15"/>
      <c r="L21" s="15"/>
      <c r="M21" s="15"/>
      <c r="N21" s="15"/>
    </row>
    <row r="22" spans="2:14" x14ac:dyDescent="0.25">
      <c r="B22" s="15"/>
      <c r="C22" s="15"/>
      <c r="D22" s="15"/>
      <c r="E22" s="15"/>
      <c r="F22" s="15"/>
      <c r="G22" s="15"/>
      <c r="H22" s="15"/>
      <c r="I22" s="15"/>
      <c r="J22" s="15"/>
      <c r="K22" s="15"/>
      <c r="L22" s="15"/>
      <c r="M22" s="15"/>
      <c r="N22" s="15"/>
    </row>
    <row r="23" spans="2:14" x14ac:dyDescent="0.25">
      <c r="B23" s="15"/>
      <c r="C23" s="15"/>
      <c r="D23" s="15"/>
      <c r="E23" s="15"/>
      <c r="F23" s="15"/>
      <c r="G23" s="15"/>
      <c r="H23" s="15"/>
      <c r="I23" s="15"/>
      <c r="J23" s="15"/>
      <c r="K23" s="15"/>
      <c r="L23" s="15"/>
      <c r="M23" s="15"/>
      <c r="N23" s="15"/>
    </row>
    <row r="24" spans="2:14" x14ac:dyDescent="0.25">
      <c r="B24" s="15"/>
      <c r="C24" s="15"/>
      <c r="D24" s="15"/>
      <c r="E24" s="15"/>
      <c r="F24" s="15"/>
      <c r="G24" s="15"/>
      <c r="H24" s="15"/>
      <c r="I24" s="15"/>
      <c r="J24" s="15"/>
      <c r="K24" s="15"/>
      <c r="L24" s="15"/>
      <c r="M24" s="15"/>
      <c r="N24" s="15"/>
    </row>
    <row r="25" spans="2:14" x14ac:dyDescent="0.25">
      <c r="B25" s="15"/>
      <c r="C25" s="15"/>
      <c r="D25" s="15"/>
      <c r="E25" s="15"/>
      <c r="F25" s="15"/>
      <c r="G25" s="15"/>
      <c r="H25" s="15"/>
      <c r="I25" s="15"/>
      <c r="J25" s="15"/>
      <c r="K25" s="15"/>
      <c r="L25" s="15"/>
      <c r="M25" s="15"/>
      <c r="N25" s="15"/>
    </row>
    <row r="26" spans="2:14" x14ac:dyDescent="0.25">
      <c r="B26" s="15"/>
      <c r="C26" s="15"/>
      <c r="D26" s="15"/>
      <c r="E26" s="15"/>
      <c r="F26" s="15"/>
      <c r="G26" s="15"/>
      <c r="H26" s="15"/>
      <c r="I26" s="15"/>
      <c r="J26" s="15"/>
      <c r="K26" s="15"/>
      <c r="L26" s="15"/>
      <c r="M26" s="15"/>
      <c r="N26" s="15"/>
    </row>
    <row r="27" spans="2:14" x14ac:dyDescent="0.25">
      <c r="B27" s="15"/>
      <c r="C27" s="15"/>
      <c r="D27" s="15"/>
      <c r="E27" s="15"/>
      <c r="F27" s="15"/>
      <c r="G27" s="15"/>
      <c r="H27" s="15"/>
      <c r="I27" s="15"/>
      <c r="J27" s="15"/>
      <c r="K27" s="15"/>
      <c r="L27" s="15"/>
      <c r="M27" s="15"/>
      <c r="N27" s="15"/>
    </row>
    <row r="28" spans="2:14" x14ac:dyDescent="0.25">
      <c r="B28" s="15"/>
      <c r="C28" s="15"/>
      <c r="D28" s="15"/>
      <c r="E28" s="15"/>
      <c r="F28" s="15"/>
      <c r="G28" s="15"/>
      <c r="H28" s="15"/>
      <c r="I28" s="15"/>
      <c r="J28" s="15"/>
      <c r="K28" s="15"/>
      <c r="L28" s="15"/>
      <c r="M28" s="15"/>
      <c r="N28" s="15"/>
    </row>
    <row r="29" spans="2:14" x14ac:dyDescent="0.25">
      <c r="B29" s="15"/>
      <c r="C29" s="15"/>
      <c r="D29" s="15"/>
      <c r="E29" s="15"/>
      <c r="F29" s="15"/>
      <c r="G29" s="15"/>
      <c r="H29" s="15"/>
      <c r="I29" s="15"/>
      <c r="J29" s="15"/>
      <c r="K29" s="15"/>
      <c r="L29" s="15"/>
      <c r="M29" s="15"/>
      <c r="N29" s="15"/>
    </row>
    <row r="30" spans="2:14" x14ac:dyDescent="0.25">
      <c r="B30" s="15"/>
      <c r="C30" s="15"/>
      <c r="D30" s="15"/>
      <c r="E30" s="15"/>
      <c r="F30" s="15"/>
      <c r="G30" s="15"/>
      <c r="H30" s="15"/>
      <c r="I30" s="15"/>
      <c r="J30" s="15"/>
      <c r="K30" s="15"/>
      <c r="L30" s="15"/>
      <c r="M30" s="15"/>
      <c r="N30" s="15"/>
    </row>
    <row r="31" spans="2:14" x14ac:dyDescent="0.25">
      <c r="B31" s="15"/>
      <c r="C31" s="15"/>
      <c r="D31" s="15"/>
      <c r="E31" s="15"/>
      <c r="F31" s="15"/>
      <c r="G31" s="15"/>
      <c r="H31" s="15"/>
      <c r="I31" s="15"/>
      <c r="J31" s="15"/>
      <c r="K31" s="15"/>
      <c r="L31" s="15"/>
      <c r="M31" s="15"/>
      <c r="N31" s="15"/>
    </row>
    <row r="32" spans="2:14" x14ac:dyDescent="0.25">
      <c r="B32" s="15"/>
      <c r="C32" s="15"/>
      <c r="D32" s="15"/>
      <c r="E32" s="15"/>
      <c r="F32" s="15"/>
      <c r="G32" s="15"/>
      <c r="H32" s="15"/>
      <c r="I32" s="15"/>
      <c r="J32" s="15"/>
      <c r="K32" s="15"/>
      <c r="L32" s="15"/>
      <c r="M32" s="15"/>
      <c r="N32" s="15"/>
    </row>
    <row r="33" spans="2:14" x14ac:dyDescent="0.25">
      <c r="B33" s="15"/>
      <c r="C33" s="15"/>
      <c r="D33" s="15"/>
      <c r="E33" s="15"/>
      <c r="F33" s="15"/>
      <c r="G33" s="15"/>
      <c r="H33" s="15"/>
      <c r="I33" s="15"/>
      <c r="J33" s="15"/>
      <c r="K33" s="15"/>
      <c r="L33" s="15"/>
      <c r="M33" s="15"/>
      <c r="N33" s="15"/>
    </row>
    <row r="34" spans="2:14" x14ac:dyDescent="0.25">
      <c r="B34" s="15"/>
      <c r="C34" s="15"/>
      <c r="D34" s="15"/>
      <c r="E34" s="15"/>
      <c r="F34" s="15"/>
      <c r="G34" s="15"/>
      <c r="H34" s="15"/>
      <c r="I34" s="15"/>
      <c r="J34" s="15"/>
      <c r="K34" s="15"/>
      <c r="L34" s="15"/>
      <c r="M34" s="15"/>
      <c r="N34" s="15"/>
    </row>
    <row r="35" spans="2:14" x14ac:dyDescent="0.25">
      <c r="B35" s="15"/>
      <c r="C35" s="15"/>
      <c r="D35" s="15"/>
      <c r="E35" s="15"/>
      <c r="F35" s="15"/>
      <c r="G35" s="15"/>
      <c r="H35" s="15"/>
      <c r="I35" s="15"/>
      <c r="J35" s="15"/>
      <c r="K35" s="15"/>
      <c r="L35" s="15"/>
      <c r="M35" s="15"/>
      <c r="N35" s="15"/>
    </row>
    <row r="36" spans="2:14" x14ac:dyDescent="0.25">
      <c r="B36" s="15"/>
      <c r="C36" s="15"/>
      <c r="D36" s="15"/>
      <c r="E36" s="15"/>
      <c r="F36" s="15"/>
      <c r="G36" s="15"/>
      <c r="H36" s="15"/>
      <c r="I36" s="15"/>
      <c r="J36" s="15"/>
      <c r="K36" s="15"/>
      <c r="L36" s="15"/>
      <c r="M36" s="15"/>
      <c r="N36" s="15"/>
    </row>
    <row r="37" spans="2:14" x14ac:dyDescent="0.25">
      <c r="B37" s="15"/>
      <c r="C37" s="15"/>
      <c r="D37" s="15"/>
      <c r="E37" s="15"/>
      <c r="F37" s="15"/>
      <c r="G37" s="15"/>
      <c r="H37" s="15"/>
      <c r="I37" s="15"/>
      <c r="J37" s="15"/>
      <c r="K37" s="15"/>
      <c r="L37" s="15"/>
      <c r="M37" s="15"/>
      <c r="N37" s="15"/>
    </row>
    <row r="38" spans="2:14" x14ac:dyDescent="0.25">
      <c r="B38" s="15"/>
      <c r="C38" s="15"/>
      <c r="D38" s="15"/>
      <c r="E38" s="15"/>
      <c r="F38" s="15"/>
      <c r="G38" s="15"/>
      <c r="H38" s="15"/>
      <c r="I38" s="15"/>
      <c r="J38" s="15"/>
      <c r="K38" s="15"/>
      <c r="L38" s="15"/>
      <c r="M38" s="15"/>
      <c r="N38" s="15"/>
    </row>
    <row r="39" spans="2:14" x14ac:dyDescent="0.25">
      <c r="B39" s="15"/>
      <c r="C39" s="15"/>
      <c r="D39" s="15"/>
      <c r="E39" s="15"/>
      <c r="F39" s="15"/>
      <c r="G39" s="15"/>
      <c r="H39" s="15"/>
      <c r="I39" s="15"/>
      <c r="J39" s="15"/>
      <c r="K39" s="15"/>
      <c r="L39" s="15"/>
      <c r="M39" s="15"/>
      <c r="N39" s="15"/>
    </row>
    <row r="40" spans="2:14" x14ac:dyDescent="0.25">
      <c r="B40" s="15"/>
      <c r="C40" s="15"/>
      <c r="D40" s="15"/>
      <c r="E40" s="15"/>
      <c r="F40" s="15"/>
      <c r="G40" s="15"/>
      <c r="H40" s="15"/>
      <c r="I40" s="15"/>
      <c r="J40" s="15"/>
      <c r="K40" s="15"/>
      <c r="L40" s="15"/>
      <c r="M40" s="15"/>
      <c r="N40" s="15"/>
    </row>
    <row r="41" spans="2:14" x14ac:dyDescent="0.25">
      <c r="B41" s="15"/>
      <c r="C41" s="15"/>
      <c r="D41" s="15"/>
      <c r="E41" s="15"/>
      <c r="F41" s="15"/>
      <c r="G41" s="15"/>
      <c r="H41" s="15"/>
      <c r="I41" s="15"/>
      <c r="J41" s="15"/>
      <c r="K41" s="15"/>
      <c r="L41" s="15"/>
      <c r="M41" s="15"/>
      <c r="N41" s="15"/>
    </row>
    <row r="42" spans="2:14" x14ac:dyDescent="0.25">
      <c r="B42" s="15"/>
      <c r="C42" s="15"/>
      <c r="D42" s="15"/>
      <c r="E42" s="15"/>
      <c r="F42" s="15"/>
      <c r="G42" s="15"/>
      <c r="H42" s="15"/>
      <c r="I42" s="15"/>
      <c r="J42" s="15"/>
      <c r="K42" s="15"/>
      <c r="L42" s="15"/>
      <c r="M42" s="15"/>
      <c r="N42" s="15"/>
    </row>
    <row r="43" spans="2:14" x14ac:dyDescent="0.25">
      <c r="B43" s="15"/>
      <c r="C43" s="15"/>
      <c r="D43" s="15"/>
      <c r="E43" s="15"/>
      <c r="F43" s="15"/>
      <c r="G43" s="15"/>
      <c r="H43" s="15"/>
      <c r="I43" s="15"/>
      <c r="J43" s="15"/>
      <c r="K43" s="15"/>
      <c r="L43" s="15"/>
      <c r="M43" s="15"/>
      <c r="N43" s="15"/>
    </row>
    <row r="44" spans="2:14" x14ac:dyDescent="0.25">
      <c r="B44" s="15"/>
      <c r="C44" s="15"/>
      <c r="D44" s="15"/>
      <c r="E44" s="15"/>
      <c r="F44" s="15"/>
      <c r="G44" s="15"/>
      <c r="H44" s="15"/>
      <c r="I44" s="15"/>
      <c r="J44" s="15"/>
      <c r="K44" s="15"/>
      <c r="L44" s="15"/>
      <c r="M44" s="15"/>
      <c r="N44" s="15"/>
    </row>
    <row r="45" spans="2:14" x14ac:dyDescent="0.25">
      <c r="B45" s="15"/>
      <c r="C45" s="15"/>
      <c r="D45" s="15"/>
      <c r="E45" s="15"/>
      <c r="F45" s="15"/>
      <c r="G45" s="15"/>
      <c r="H45" s="15"/>
      <c r="I45" s="15"/>
      <c r="J45" s="15"/>
      <c r="K45" s="15"/>
      <c r="L45" s="15"/>
      <c r="M45" s="15"/>
      <c r="N45" s="15"/>
    </row>
    <row r="46" spans="2:14" x14ac:dyDescent="0.25">
      <c r="B46" s="15"/>
      <c r="C46" s="15"/>
      <c r="D46" s="15"/>
      <c r="E46" s="15"/>
      <c r="F46" s="15"/>
      <c r="G46" s="15"/>
      <c r="H46" s="15"/>
      <c r="I46" s="15"/>
      <c r="J46" s="15"/>
      <c r="K46" s="15"/>
      <c r="L46" s="15"/>
      <c r="M46" s="15"/>
      <c r="N46" s="15"/>
    </row>
    <row r="47" spans="2:14" x14ac:dyDescent="0.25">
      <c r="B47" s="15"/>
      <c r="C47" s="15"/>
      <c r="D47" s="15"/>
      <c r="E47" s="15"/>
      <c r="F47" s="15"/>
      <c r="G47" s="15"/>
      <c r="H47" s="15"/>
      <c r="I47" s="15"/>
      <c r="J47" s="15"/>
      <c r="K47" s="15"/>
      <c r="L47" s="15"/>
      <c r="M47" s="15"/>
      <c r="N47" s="15"/>
    </row>
    <row r="48" spans="2:14" x14ac:dyDescent="0.25">
      <c r="B48" s="15"/>
      <c r="C48" s="15"/>
      <c r="D48" s="15"/>
      <c r="E48" s="15"/>
      <c r="F48" s="15"/>
      <c r="G48" s="15"/>
      <c r="H48" s="15"/>
      <c r="I48" s="15"/>
      <c r="J48" s="15"/>
      <c r="K48" s="15"/>
      <c r="L48" s="15"/>
      <c r="M48" s="15"/>
      <c r="N48" s="15"/>
    </row>
    <row r="49" spans="2:14" x14ac:dyDescent="0.25">
      <c r="B49" s="15"/>
      <c r="C49" s="15"/>
      <c r="D49" s="15"/>
      <c r="E49" s="15"/>
      <c r="F49" s="15"/>
      <c r="G49" s="15"/>
      <c r="H49" s="15"/>
      <c r="I49" s="15"/>
      <c r="J49" s="15"/>
      <c r="K49" s="15"/>
      <c r="L49" s="15"/>
      <c r="M49" s="15"/>
      <c r="N49" s="15"/>
    </row>
    <row r="50" spans="2:14" x14ac:dyDescent="0.25">
      <c r="B50" s="15"/>
      <c r="C50" s="15"/>
      <c r="D50" s="15"/>
      <c r="E50" s="15"/>
      <c r="F50" s="15"/>
      <c r="G50" s="15"/>
      <c r="H50" s="15"/>
      <c r="I50" s="15"/>
      <c r="J50" s="15"/>
      <c r="K50" s="15"/>
      <c r="L50" s="15"/>
      <c r="M50" s="15"/>
      <c r="N50" s="15"/>
    </row>
    <row r="51" spans="2:14" x14ac:dyDescent="0.25">
      <c r="B51" s="15"/>
      <c r="C51" s="15"/>
      <c r="D51" s="15"/>
      <c r="E51" s="15"/>
      <c r="F51" s="15"/>
      <c r="G51" s="15"/>
      <c r="H51" s="15"/>
      <c r="I51" s="15"/>
      <c r="J51" s="15"/>
      <c r="K51" s="15"/>
      <c r="L51" s="15"/>
      <c r="M51" s="15"/>
      <c r="N51" s="15"/>
    </row>
  </sheetData>
  <mergeCells count="1">
    <mergeCell ref="A2: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Worked Sheet</vt:lpstr>
      <vt:lpstr>KPI </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divyashreeshinde27@gmail.com</dc:creator>
  <cp:lastModifiedBy>divyashreeshinde27@gmail.com</cp:lastModifiedBy>
  <dcterms:created xsi:type="dcterms:W3CDTF">2026-06-19T08:27:43Z</dcterms:created>
  <dcterms:modified xsi:type="dcterms:W3CDTF">2026-06-19T13:38:10Z</dcterms:modified>
</cp:coreProperties>
</file>